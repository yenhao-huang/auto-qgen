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文境\TIRS\data\專款項目\"/>
    </mc:Choice>
  </mc:AlternateContent>
  <bookViews>
    <workbookView minimized="1" xWindow="0" yWindow="0" windowWidth="16380" windowHeight="8190" tabRatio="500"/>
  </bookViews>
  <sheets>
    <sheet name="表5-3" sheetId="1" r:id="rId1"/>
  </sheets>
  <definedNames>
    <definedName name="_xlnm.Print_Area" localSheetId="0">'表5-3'!$A$1:$K$55</definedName>
    <definedName name="_xlnm.Print_Titles" localSheetId="0">'表5-3'!3:3</definedName>
    <definedName name="source_sourceValue">'表5-3'!$J$3:$J$52</definedName>
    <definedName name="source_sourceValue_tpl" localSheetId="0">'表5-3'!$J$3:$J$52</definedName>
  </definedNames>
  <calcPr calcId="162913" iterateDelta="1E-4"/>
  <extLst>
    <x:ext xmlns:x="http://schemas.openxmlformats.org/spreadsheetml/2006/main" xmlns:loext="http://schemas.libreoffice.org/" uri="{7626C862-2A13-11E5-B345-FEFF819CDC9F}">
      <loext:extCalcPr stringRefSyntax="ExcelA1"/>
    </x:ext>
  </extLst>
</workbook>
</file>

<file path=xl/calcChain.xml><?xml version="1.0" encoding="utf-8"?>
<calcChain xmlns="http://schemas.openxmlformats.org/spreadsheetml/2006/main">
  <c r="H7" i="1" l="1"/>
  <c r="I7" i="1"/>
  <c r="O9" i="1"/>
  <c r="H11" i="1"/>
  <c r="I11" i="1"/>
  <c r="H16" i="1"/>
  <c r="I16" i="1"/>
  <c r="H17" i="1"/>
  <c r="I17" i="1"/>
  <c r="H21" i="1"/>
  <c r="I21" i="1"/>
  <c r="H22" i="1"/>
  <c r="I22" i="1"/>
  <c r="F28" i="1"/>
  <c r="K34" i="1"/>
  <c r="H36" i="1"/>
  <c r="I36" i="1"/>
  <c r="D40" i="1"/>
  <c r="E40" i="1"/>
  <c r="F40" i="1"/>
  <c r="G40" i="1"/>
  <c r="G28" i="1" s="1"/>
  <c r="H40" i="1"/>
  <c r="H43" i="1" s="1"/>
  <c r="I40" i="1"/>
  <c r="I43" i="1" s="1"/>
  <c r="H44" i="1"/>
  <c r="I44" i="1"/>
  <c r="H45" i="1"/>
  <c r="I45" i="1"/>
  <c r="E51" i="1"/>
  <c r="F51" i="1"/>
  <c r="G51" i="1"/>
  <c r="H51" i="1"/>
  <c r="E52" i="1"/>
  <c r="F52" i="1"/>
  <c r="G52" i="1"/>
  <c r="H52" i="1"/>
  <c r="I52" i="1"/>
  <c r="J52" i="1"/>
  <c r="I28" i="1" l="1"/>
  <c r="H28" i="1"/>
</calcChain>
</file>

<file path=xl/sharedStrings.xml><?xml version="1.0" encoding="utf-8"?>
<sst xmlns="http://schemas.openxmlformats.org/spreadsheetml/2006/main" count="234" uniqueCount="68">
  <si>
    <r>
      <rPr>
        <b/>
        <sz val="14"/>
        <color rgb="FF000000"/>
        <rFont val="標楷體"/>
        <family val="4"/>
      </rPr>
      <t>表</t>
    </r>
    <r>
      <rPr>
        <b/>
        <sz val="14"/>
        <color rgb="FF000000"/>
        <rFont val="Times New Roman"/>
        <family val="1"/>
      </rPr>
      <t xml:space="preserve">5-3 </t>
    </r>
    <r>
      <rPr>
        <b/>
        <sz val="14"/>
        <color rgb="FF000000"/>
        <rFont val="標楷體"/>
        <family val="4"/>
      </rPr>
      <t>牙醫門診總額</t>
    </r>
    <r>
      <rPr>
        <b/>
        <sz val="14"/>
        <color rgb="FF000000"/>
        <rFont val="Times New Roman"/>
        <family val="1"/>
      </rPr>
      <t>12~18</t>
    </r>
    <r>
      <rPr>
        <b/>
        <sz val="14"/>
        <color rgb="FF000000"/>
        <rFont val="標楷體"/>
        <family val="4"/>
      </rPr>
      <t>歲青少年口腔提升照護試辦計畫執行情形</t>
    </r>
  </si>
  <si>
    <r>
      <rPr>
        <sz val="14"/>
        <color rgb="FF000000"/>
        <rFont val="標楷體"/>
        <family val="4"/>
      </rPr>
      <t>計畫型</t>
    </r>
    <r>
      <rPr>
        <sz val="14"/>
        <color rgb="FF000000"/>
        <rFont val="Times New Roman"/>
        <family val="1"/>
      </rPr>
      <t>-</t>
    </r>
    <r>
      <rPr>
        <sz val="14"/>
        <color rgb="FF000000"/>
        <rFont val="標楷體"/>
        <family val="4"/>
      </rPr>
      <t>自</t>
    </r>
    <r>
      <rPr>
        <sz val="14"/>
        <color rgb="FF000000"/>
        <rFont val="Times New Roman"/>
        <family val="1"/>
      </rPr>
      <t>111</t>
    </r>
    <r>
      <rPr>
        <sz val="14"/>
        <color rgb="FF000000"/>
        <rFont val="標楷體"/>
        <family val="4"/>
      </rPr>
      <t>年</t>
    </r>
    <r>
      <rPr>
        <sz val="14"/>
        <color rgb="FF000000"/>
        <rFont val="Times New Roman"/>
        <family val="1"/>
      </rPr>
      <t>3</t>
    </r>
    <r>
      <rPr>
        <sz val="14"/>
        <color rgb="FF000000"/>
        <rFont val="標楷體"/>
        <family val="4"/>
      </rPr>
      <t>月</t>
    </r>
    <r>
      <rPr>
        <sz val="14"/>
        <color rgb="FF000000"/>
        <rFont val="Times New Roman"/>
        <family val="1"/>
      </rPr>
      <t>11</t>
    </r>
    <r>
      <rPr>
        <sz val="14"/>
        <color rgb="FF000000"/>
        <rFont val="標楷體"/>
        <family val="4"/>
      </rPr>
      <t>日起實施</t>
    </r>
  </si>
  <si>
    <r>
      <rPr>
        <sz val="12"/>
        <color rgb="FF000000"/>
        <rFont val="新細明體"/>
        <family val="2"/>
      </rPr>
      <t xml:space="preserve">                                                    </t>
    </r>
    <r>
      <rPr>
        <sz val="12"/>
        <color rgb="FF000000"/>
        <rFont val="標楷體"/>
        <family val="4"/>
      </rPr>
      <t>年度</t>
    </r>
    <r>
      <rPr>
        <sz val="12"/>
        <color rgb="FF000000"/>
        <rFont val="新細明體"/>
        <family val="2"/>
      </rPr>
      <t xml:space="preserve">                      
</t>
    </r>
    <r>
      <rPr>
        <sz val="12"/>
        <color rgb="FF000000"/>
        <rFont val="標楷體"/>
        <family val="4"/>
      </rPr>
      <t>項目</t>
    </r>
  </si>
  <si>
    <r>
      <rPr>
        <sz val="12"/>
        <color rgb="FF000000"/>
        <rFont val="Times New Roman"/>
        <family val="1"/>
      </rPr>
      <t>114
1-6</t>
    </r>
    <r>
      <rPr>
        <sz val="12"/>
        <color rgb="FF000000"/>
        <rFont val="標楷體"/>
        <family val="4"/>
      </rPr>
      <t>月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7</t>
    </r>
  </si>
  <si>
    <r>
      <rPr>
        <b/>
        <sz val="12"/>
        <color rgb="FF000000"/>
        <rFont val="Times New Roman"/>
        <family val="1"/>
      </rPr>
      <t>12~18</t>
    </r>
    <r>
      <rPr>
        <b/>
        <sz val="12"/>
        <color rgb="FF000000"/>
        <rFont val="標楷體"/>
        <family val="4"/>
      </rPr>
      <t>歲青少年口腔提升照護試辦計畫</t>
    </r>
  </si>
  <si>
    <r>
      <rPr>
        <sz val="12"/>
        <color rgb="FF000000"/>
        <rFont val="標楷體"/>
        <family val="4"/>
      </rPr>
      <t>預算數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百萬元</t>
    </r>
    <r>
      <rPr>
        <sz val="12"/>
        <color rgb="FF000000"/>
        <rFont val="Times New Roman"/>
        <family val="1"/>
      </rPr>
      <t>)</t>
    </r>
  </si>
  <si>
    <t>…</t>
  </si>
  <si>
    <r>
      <rPr>
        <sz val="12"/>
        <color rgb="FF000000"/>
        <rFont val="標楷體"/>
        <family val="4"/>
      </rPr>
      <t>預算執行數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百萬元</t>
    </r>
    <r>
      <rPr>
        <sz val="12"/>
        <color rgb="FF000000"/>
        <rFont val="Times New Roman"/>
        <family val="1"/>
      </rPr>
      <t>)</t>
    </r>
  </si>
  <si>
    <t>預算執行率</t>
  </si>
  <si>
    <r>
      <rPr>
        <sz val="12"/>
        <color rgb="FF000000"/>
        <rFont val="標楷體"/>
        <family val="4"/>
      </rPr>
      <t>申報點數</t>
    </r>
    <r>
      <rPr>
        <sz val="12"/>
        <color rgb="FF000000"/>
        <rFont val="新細明體"/>
        <family val="2"/>
      </rPr>
      <t xml:space="preserve"> 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百萬點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</si>
  <si>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MASS</t>
    </r>
    <r>
      <rPr>
        <sz val="12"/>
        <color rgb="FF000000"/>
        <rFont val="新細明體"/>
        <family val="1"/>
      </rPr>
      <t>拉，非</t>
    </r>
    <r>
      <rPr>
        <sz val="12"/>
        <color rgb="FF000000"/>
        <rFont val="Times New Roman"/>
        <family val="1"/>
      </rPr>
      <t>SAS</t>
    </r>
  </si>
  <si>
    <t>P7101C 青少年齲齒控制照護處置</t>
  </si>
  <si>
    <t>P7102C 青少年齲齒氟化物治療</t>
  </si>
  <si>
    <t>執行院所數</t>
  </si>
  <si>
    <r>
      <rPr>
        <sz val="12"/>
        <color rgb="FF000000"/>
        <rFont val="標楷體"/>
        <family val="4"/>
      </rPr>
      <t>總服務人數</t>
    </r>
    <r>
      <rPr>
        <sz val="12"/>
        <color rgb="FF000000"/>
        <rFont val="Times New Roman"/>
        <family val="1"/>
      </rPr>
      <t>(A)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</si>
  <si>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參加計畫人數占青少年人數之占率</t>
    </r>
    <r>
      <rPr>
        <sz val="12"/>
        <color rgb="FF000000"/>
        <rFont val="Times New Roman"/>
        <family val="1"/>
      </rPr>
      <t>(A/Z)</t>
    </r>
  </si>
  <si>
    <t>總服務人次</t>
  </si>
  <si>
    <r>
      <rPr>
        <sz val="12"/>
        <color rgb="FF000000"/>
        <rFont val="標楷體"/>
        <family val="4"/>
      </rPr>
      <t>青少年齲齒控制照護處置</t>
    </r>
    <r>
      <rPr>
        <sz val="12"/>
        <color rgb="FF000000"/>
        <rFont val="Times New Roman"/>
        <family val="1"/>
      </rPr>
      <t>(P7101C)</t>
    </r>
    <r>
      <rPr>
        <sz val="12"/>
        <color rgb="FF000000"/>
        <rFont val="標楷體"/>
        <family val="4"/>
      </rPr>
      <t>利用情形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2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</si>
  <si>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服務人數</t>
    </r>
    <r>
      <rPr>
        <sz val="12"/>
        <color rgb="FF000000"/>
        <rFont val="Times New Roman"/>
        <family val="1"/>
      </rPr>
      <t>(B)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</si>
  <si>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服務人次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</si>
  <si>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平均每人利用次數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</si>
  <si>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利用率</t>
    </r>
    <r>
      <rPr>
        <sz val="12"/>
        <color rgb="FF000000"/>
        <rFont val="Times New Roman"/>
        <family val="1"/>
      </rPr>
      <t>(B/Z)</t>
    </r>
  </si>
  <si>
    <r>
      <rPr>
        <sz val="12"/>
        <color rgb="FF000000"/>
        <rFont val="標楷體"/>
        <family val="4"/>
      </rPr>
      <t>青少年齲齒氟化物治療</t>
    </r>
    <r>
      <rPr>
        <sz val="12"/>
        <color rgb="FF000000"/>
        <rFont val="Times New Roman"/>
        <family val="1"/>
      </rPr>
      <t>(P7102C)</t>
    </r>
    <r>
      <rPr>
        <sz val="12"/>
        <color rgb="FF000000"/>
        <rFont val="標楷體"/>
        <family val="4"/>
      </rPr>
      <t>利用情形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2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</si>
  <si>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服務人數</t>
    </r>
    <r>
      <rPr>
        <sz val="12"/>
        <color rgb="FF000000"/>
        <rFont val="Times New Roman"/>
        <family val="1"/>
      </rPr>
      <t>(C)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</si>
  <si>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服務人次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</si>
  <si>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平均每人利用次數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</si>
  <si>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利用率</t>
    </r>
    <r>
      <rPr>
        <sz val="12"/>
        <color rgb="FF000000"/>
        <rFont val="Times New Roman"/>
        <family val="1"/>
      </rPr>
      <t>(C/Z)</t>
    </r>
  </si>
  <si>
    <r>
      <rPr>
        <sz val="12"/>
        <color rgb="FF000000"/>
        <rFont val="Times New Roman"/>
        <family val="1"/>
      </rPr>
      <t>113</t>
    </r>
    <r>
      <rPr>
        <sz val="12"/>
        <color rgb="FF000000"/>
        <rFont val="標楷體"/>
        <family val="4"/>
      </rPr>
      <t>年計畫執行目標：照護人次以「青少年齲
齒控制照護處置</t>
    </r>
    <r>
      <rPr>
        <sz val="12"/>
        <color rgb="FF000000"/>
        <rFont val="Times New Roman"/>
        <family val="1"/>
      </rPr>
      <t>(P7101C)</t>
    </r>
    <r>
      <rPr>
        <sz val="12"/>
        <color rgb="FF000000"/>
        <rFont val="標楷體"/>
        <family val="4"/>
      </rPr>
      <t>」、「青少年齲齒氟
化物治療</t>
    </r>
    <r>
      <rPr>
        <sz val="12"/>
        <color rgb="FF000000"/>
        <rFont val="Times New Roman"/>
        <family val="1"/>
      </rPr>
      <t>(P7102C)</t>
    </r>
    <r>
      <rPr>
        <sz val="12"/>
        <color rgb="FF000000"/>
        <rFont val="標楷體"/>
        <family val="4"/>
      </rPr>
      <t>」合計達</t>
    </r>
    <r>
      <rPr>
        <sz val="12"/>
        <color rgb="FF000000"/>
        <rFont val="Times New Roman"/>
        <family val="1"/>
      </rPr>
      <t>444,500</t>
    </r>
    <r>
      <rPr>
        <sz val="12"/>
        <color rgb="FF000000"/>
        <rFont val="標楷體"/>
        <family val="4"/>
      </rPr>
      <t>服務人次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5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</si>
  <si>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執行數</t>
    </r>
    <r>
      <rPr>
        <sz val="12"/>
        <color rgb="FF000000"/>
        <rFont val="Times New Roman"/>
        <family val="1"/>
      </rPr>
      <t>(P7101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P7102</t>
    </r>
    <r>
      <rPr>
        <sz val="12"/>
        <color rgb="FF000000"/>
        <rFont val="標楷體"/>
        <family val="4"/>
      </rPr>
      <t>服務人次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</si>
  <si>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目標達成率</t>
    </r>
  </si>
  <si>
    <r>
      <rPr>
        <sz val="12"/>
        <color rgb="FF000000"/>
        <rFont val="Times New Roman"/>
        <family val="1"/>
      </rPr>
      <t>114</t>
    </r>
    <r>
      <rPr>
        <sz val="12"/>
        <color rgb="FF000000"/>
        <rFont val="標楷體"/>
        <family val="4"/>
      </rPr>
      <t>年計畫評估指標：</t>
    </r>
  </si>
  <si>
    <r>
      <rPr>
        <sz val="12"/>
        <color rgb="FF000000"/>
        <rFont val="Times New Roman"/>
        <family val="1"/>
      </rPr>
      <t xml:space="preserve"> 1.</t>
    </r>
    <r>
      <rPr>
        <sz val="12"/>
        <color rgb="FF000000"/>
        <rFont val="標楷體"/>
        <family val="4"/>
      </rPr>
      <t>提升全國</t>
    </r>
    <r>
      <rPr>
        <sz val="12"/>
        <color rgb="FF000000"/>
        <rFont val="Times New Roman"/>
        <family val="1"/>
      </rPr>
      <t>12~18</t>
    </r>
    <r>
      <rPr>
        <sz val="12"/>
        <color rgb="FF000000"/>
        <rFont val="標楷體"/>
        <family val="4"/>
      </rPr>
      <t>歲少年牙醫就醫率不低於</t>
    </r>
    <r>
      <rPr>
        <sz val="12"/>
        <color rgb="FF000000"/>
        <rFont val="Times New Roman"/>
        <family val="1"/>
      </rPr>
      <t>51%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5</t>
    </r>
  </si>
  <si>
    <r>
      <rPr>
        <sz val="12"/>
        <color rgb="FF000000"/>
        <rFont val="Times New Roman"/>
        <family val="1"/>
      </rPr>
      <t>--12~18</t>
    </r>
    <r>
      <rPr>
        <sz val="12"/>
        <color rgb="FF000000"/>
        <rFont val="標楷體"/>
        <family val="4"/>
      </rPr>
      <t>歲青少年就醫率</t>
    </r>
  </si>
  <si>
    <t>-</t>
  </si>
  <si>
    <r>
      <rPr>
        <sz val="12"/>
        <color rgb="FF000000"/>
        <rFont val="Times New Roman"/>
        <family val="1"/>
      </rPr>
      <t xml:space="preserve"> 2.</t>
    </r>
    <r>
      <rPr>
        <sz val="12"/>
        <color rgb="FF000000"/>
        <rFont val="標楷體"/>
        <family val="4"/>
      </rPr>
      <t>執行「青少年齲齒氟化物治療</t>
    </r>
    <r>
      <rPr>
        <sz val="12"/>
        <color rgb="FF000000"/>
        <rFont val="Times New Roman"/>
        <family val="1"/>
      </rPr>
      <t>(P7102C)</t>
    </r>
    <r>
      <rPr>
        <sz val="12"/>
        <color rgb="FF000000"/>
        <rFont val="標楷體"/>
        <family val="4"/>
      </rPr>
      <t xml:space="preserve">」後
</t>
    </r>
    <r>
      <rPr>
        <sz val="12"/>
        <color rgb="FF000000"/>
        <rFont val="新細明體"/>
        <family val="2"/>
      </rPr>
      <t xml:space="preserve">    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標楷體"/>
        <family val="4"/>
      </rPr>
      <t>年內牙位</t>
    </r>
    <r>
      <rPr>
        <sz val="12"/>
        <color rgb="FF000000"/>
        <rFont val="Times New Roman"/>
        <family val="1"/>
      </rPr>
      <t>11~13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21~23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31~33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41~43</t>
    </r>
    <r>
      <rPr>
        <sz val="12"/>
        <color rgb="FF000000"/>
        <rFont val="標楷體"/>
        <family val="4"/>
      </rPr>
      <t xml:space="preserve">的
</t>
    </r>
    <r>
      <rPr>
        <sz val="12"/>
        <color rgb="FF000000"/>
        <rFont val="新細明體"/>
        <family val="2"/>
      </rPr>
      <t xml:space="preserve">   </t>
    </r>
    <r>
      <rPr>
        <sz val="12"/>
        <color rgb="FF000000"/>
        <rFont val="標楷體"/>
        <family val="4"/>
      </rPr>
      <t>平均齲齒填補顆數增加率減緩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</si>
  <si>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當年度申報</t>
    </r>
    <r>
      <rPr>
        <sz val="12"/>
        <color rgb="FF000000"/>
        <rFont val="Times New Roman"/>
        <family val="1"/>
      </rPr>
      <t>P7102C</t>
    </r>
    <r>
      <rPr>
        <sz val="12"/>
        <color rgb="FF000000"/>
        <rFont val="標楷體"/>
        <family val="4"/>
      </rPr>
      <t>的患者人數</t>
    </r>
    <r>
      <rPr>
        <sz val="12"/>
        <color rgb="FF000000"/>
        <rFont val="Times New Roman"/>
        <family val="1"/>
      </rPr>
      <t>(E)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</si>
  <si>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當年度申報</t>
    </r>
    <r>
      <rPr>
        <sz val="12"/>
        <color rgb="FF000000"/>
        <rFont val="Times New Roman"/>
        <family val="1"/>
      </rPr>
      <t>P7102C</t>
    </r>
    <r>
      <rPr>
        <sz val="12"/>
        <color rgb="FF000000"/>
        <rFont val="標楷體"/>
        <family val="4"/>
      </rPr>
      <t>的患者追蹤</t>
    </r>
    <r>
      <rPr>
        <sz val="12"/>
        <color rgb="FF000000"/>
        <rFont val="Times New Roman"/>
        <family val="1"/>
      </rPr>
      <t>1</t>
    </r>
    <r>
      <rPr>
        <sz val="12"/>
        <color rgb="FF000000"/>
        <rFont val="標楷體"/>
        <family val="4"/>
      </rPr>
      <t xml:space="preserve">年施作牙位
</t>
    </r>
    <r>
      <rPr>
        <sz val="12"/>
        <color rgb="FF000000"/>
        <rFont val="新細明體"/>
        <family val="2"/>
      </rPr>
      <t xml:space="preserve">    </t>
    </r>
    <r>
      <rPr>
        <sz val="12"/>
        <color rgb="FF000000"/>
        <rFont val="Times New Roman"/>
        <family val="1"/>
      </rPr>
      <t>(11~13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21~23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31~33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41~43)</t>
    </r>
    <r>
      <rPr>
        <sz val="12"/>
        <color rgb="FF000000"/>
        <rFont val="標楷體"/>
        <family val="4"/>
      </rPr>
      <t xml:space="preserve">有申報牙
</t>
    </r>
    <r>
      <rPr>
        <sz val="12"/>
        <color rgb="FF000000"/>
        <rFont val="新細明體"/>
        <family val="2"/>
      </rPr>
      <t xml:space="preserve">   </t>
    </r>
    <r>
      <rPr>
        <sz val="12"/>
        <color rgb="FF000000"/>
        <rFont val="標楷體"/>
        <family val="4"/>
      </rPr>
      <t>體復形醫令的患者人數</t>
    </r>
    <r>
      <rPr>
        <sz val="12"/>
        <color rgb="FF000000"/>
        <rFont val="Times New Roman"/>
        <family val="1"/>
      </rPr>
      <t>(F)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</si>
  <si>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占率</t>
    </r>
    <r>
      <rPr>
        <sz val="12"/>
        <color rgb="FF000000"/>
        <rFont val="Times New Roman"/>
        <family val="1"/>
      </rPr>
      <t>(E/F)</t>
    </r>
  </si>
  <si>
    <r>
      <rPr>
        <b/>
        <sz val="12"/>
        <color rgb="FF000000"/>
        <rFont val="標楷體"/>
        <family val="4"/>
      </rPr>
      <t>總額協定事項之執行情形</t>
    </r>
    <r>
      <rPr>
        <b/>
        <sz val="12"/>
        <color rgb="FF000000"/>
        <rFont val="Times New Roman"/>
        <family val="1"/>
      </rPr>
      <t>(111</t>
    </r>
    <r>
      <rPr>
        <b/>
        <sz val="12"/>
        <color rgb="FF000000"/>
        <rFont val="標楷體"/>
        <family val="4"/>
      </rPr>
      <t>年</t>
    </r>
    <r>
      <rPr>
        <b/>
        <sz val="12"/>
        <color rgb="FF000000"/>
        <rFont val="Times New Roman"/>
        <family val="1"/>
      </rPr>
      <t>)</t>
    </r>
    <r>
      <rPr>
        <b/>
        <vertAlign val="superscript"/>
        <sz val="12"/>
        <color rgb="FF000000"/>
        <rFont val="標楷體"/>
        <family val="4"/>
      </rPr>
      <t>註</t>
    </r>
    <r>
      <rPr>
        <b/>
        <vertAlign val="superscript"/>
        <sz val="12"/>
        <color rgb="FF000000"/>
        <rFont val="Times New Roman"/>
        <family val="1"/>
      </rPr>
      <t>1</t>
    </r>
  </si>
  <si>
    <r>
      <rPr>
        <b/>
        <sz val="12"/>
        <color rgb="FF000000"/>
        <rFont val="標楷體"/>
        <family val="4"/>
      </rPr>
      <t>執行目標：</t>
    </r>
    <r>
      <rPr>
        <sz val="12"/>
        <color rgb="FF000000"/>
        <rFont val="標楷體"/>
        <family val="4"/>
      </rPr>
      <t>服務</t>
    </r>
    <r>
      <rPr>
        <sz val="12"/>
        <color rgb="FF000000"/>
        <rFont val="Times New Roman"/>
        <family val="1"/>
      </rPr>
      <t>12~18</t>
    </r>
    <r>
      <rPr>
        <sz val="12"/>
        <color rgb="FF000000"/>
        <rFont val="標楷體"/>
        <family val="4"/>
      </rPr>
      <t>歲少年</t>
    </r>
    <r>
      <rPr>
        <sz val="12"/>
        <color rgb="FF000000"/>
        <rFont val="Times New Roman"/>
        <family val="1"/>
      </rPr>
      <t>90</t>
    </r>
    <r>
      <rPr>
        <sz val="12"/>
        <color rgb="FF000000"/>
        <rFont val="標楷體"/>
        <family val="4"/>
      </rPr>
      <t>萬人次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6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</si>
  <si>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執行數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服務人次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</si>
  <si>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目標達成率</t>
    </r>
  </si>
  <si>
    <r>
      <rPr>
        <b/>
        <sz val="12"/>
        <color rgb="FF000000"/>
        <rFont val="標楷體"/>
        <family val="4"/>
      </rPr>
      <t xml:space="preserve">預期效益評估指標：
</t>
    </r>
    <r>
      <rPr>
        <sz val="12"/>
        <color rgb="FF000000"/>
        <rFont val="標楷體"/>
        <family val="4"/>
      </rPr>
      <t>全國</t>
    </r>
    <r>
      <rPr>
        <sz val="12"/>
        <color rgb="FF000000"/>
        <rFont val="Times New Roman"/>
        <family val="1"/>
      </rPr>
      <t>12~18</t>
    </r>
    <r>
      <rPr>
        <sz val="12"/>
        <color rgb="FF000000"/>
        <rFont val="標楷體"/>
        <family val="4"/>
      </rPr>
      <t xml:space="preserve">歲少年牙醫就醫率不低於該年齡層
</t>
    </r>
    <r>
      <rPr>
        <sz val="12"/>
        <color rgb="FF000000"/>
        <rFont val="Times New Roman"/>
        <family val="1"/>
      </rPr>
      <t>108</t>
    </r>
    <r>
      <rPr>
        <sz val="12"/>
        <color rgb="FF000000"/>
        <rFont val="標楷體"/>
        <family val="4"/>
      </rPr>
      <t>年牙醫就醫率，</t>
    </r>
    <r>
      <rPr>
        <sz val="12"/>
        <color rgb="FF000000"/>
        <rFont val="新細明體"/>
        <family val="2"/>
      </rPr>
      <t xml:space="preserve"> </t>
    </r>
    <r>
      <rPr>
        <sz val="12"/>
        <color rgb="FF000000"/>
        <rFont val="Times New Roman"/>
        <family val="1"/>
      </rPr>
      <t>111~113</t>
    </r>
    <r>
      <rPr>
        <sz val="12"/>
        <color rgb="FF000000"/>
        <rFont val="標楷體"/>
        <family val="4"/>
      </rPr>
      <t>年分別為</t>
    </r>
    <r>
      <rPr>
        <sz val="12"/>
        <color rgb="FF000000"/>
        <rFont val="Times New Roman"/>
        <family val="1"/>
      </rPr>
      <t>40%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50%</t>
    </r>
    <r>
      <rPr>
        <sz val="12"/>
        <color rgb="FF000000"/>
        <rFont val="標楷體"/>
        <family val="4"/>
      </rPr>
      <t>、</t>
    </r>
    <r>
      <rPr>
        <sz val="12"/>
        <color rgb="FF000000"/>
        <rFont val="Times New Roman"/>
        <family val="1"/>
      </rPr>
      <t>60%</t>
    </r>
  </si>
  <si>
    <r>
      <rPr>
        <sz val="12"/>
        <color rgb="FF000000"/>
        <rFont val="Times New Roman"/>
        <family val="1"/>
      </rPr>
      <t>--12~18</t>
    </r>
    <r>
      <rPr>
        <sz val="12"/>
        <color rgb="FF000000"/>
        <rFont val="標楷體"/>
        <family val="4"/>
      </rPr>
      <t>歲青少年人數</t>
    </r>
    <r>
      <rPr>
        <sz val="12"/>
        <color rgb="FF000000"/>
        <rFont val="Times New Roman"/>
        <family val="1"/>
      </rPr>
      <t>(Z)</t>
    </r>
  </si>
  <si>
    <r>
      <rPr>
        <sz val="12"/>
        <color rgb="FF000000"/>
        <rFont val="Times New Roman"/>
        <family val="1"/>
      </rPr>
      <t>--12~18</t>
    </r>
    <r>
      <rPr>
        <sz val="12"/>
        <color rgb="FF000000"/>
        <rFont val="標楷體"/>
        <family val="4"/>
      </rPr>
      <t>歲青少年就醫人數</t>
    </r>
    <r>
      <rPr>
        <sz val="12"/>
        <color rgb="FF000000"/>
        <rFont val="Times New Roman"/>
        <family val="1"/>
      </rPr>
      <t>(D)</t>
    </r>
  </si>
  <si>
    <r>
      <rPr>
        <sz val="12"/>
        <color rgb="FF000000"/>
        <rFont val="Times New Roman"/>
        <family val="1"/>
      </rPr>
      <t>--12~18</t>
    </r>
    <r>
      <rPr>
        <sz val="12"/>
        <color rgb="FF000000"/>
        <rFont val="標楷體"/>
        <family val="4"/>
      </rPr>
      <t>歲青少年就醫率</t>
    </r>
    <r>
      <rPr>
        <sz val="12"/>
        <color rgb="FF000000"/>
        <rFont val="Times New Roman"/>
        <family val="1"/>
      </rPr>
      <t>(D/Z)</t>
    </r>
  </si>
  <si>
    <r>
      <rPr>
        <sz val="12"/>
        <color rgb="FF000000"/>
        <rFont val="新細明體"/>
        <family val="2"/>
      </rPr>
      <t xml:space="preserve">    </t>
    </r>
    <r>
      <rPr>
        <sz val="12"/>
        <color rgb="FF000000"/>
        <rFont val="標楷體"/>
        <family val="4"/>
      </rPr>
      <t xml:space="preserve">於一般服務扣減與本項重複部分費用
</t>
    </r>
    <r>
      <rPr>
        <sz val="12"/>
        <color rgb="FF000000"/>
        <rFont val="新細明體"/>
        <family val="2"/>
      </rPr>
      <t xml:space="preserve">   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百萬元</t>
    </r>
    <r>
      <rPr>
        <sz val="12"/>
        <color rgb="FF000000"/>
        <rFont val="Times New Roman"/>
        <family val="1"/>
      </rPr>
      <t>)</t>
    </r>
    <r>
      <rPr>
        <vertAlign val="superscript"/>
        <sz val="12"/>
        <color rgb="FF000000"/>
        <rFont val="標楷體"/>
        <family val="4"/>
      </rPr>
      <t>註</t>
    </r>
    <r>
      <rPr>
        <vertAlign val="superscript"/>
        <sz val="12"/>
        <color rgb="FF000000"/>
        <rFont val="Times New Roman"/>
        <family val="1"/>
      </rPr>
      <t>1(2)</t>
    </r>
    <r>
      <rPr>
        <vertAlign val="superscript"/>
        <sz val="12"/>
        <color rgb="FF000000"/>
        <rFont val="標楷體"/>
        <family val="4"/>
      </rPr>
      <t>、</t>
    </r>
    <r>
      <rPr>
        <vertAlign val="superscript"/>
        <sz val="12"/>
        <color rgb="FF000000"/>
        <rFont val="Times New Roman"/>
        <family val="1"/>
      </rPr>
      <t>4</t>
    </r>
  </si>
  <si>
    <r>
      <rPr>
        <b/>
        <sz val="12"/>
        <color rgb="FF000000"/>
        <rFont val="標楷體"/>
        <family val="4"/>
      </rPr>
      <t>關鍵績效指標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標楷體"/>
        <family val="4"/>
      </rPr>
      <t>自選</t>
    </r>
    <r>
      <rPr>
        <b/>
        <sz val="12"/>
        <color rgb="FF000000"/>
        <rFont val="Times New Roman"/>
        <family val="1"/>
      </rPr>
      <t>3</t>
    </r>
    <r>
      <rPr>
        <b/>
        <sz val="12"/>
        <color rgb="FF000000"/>
        <rFont val="標楷體"/>
        <family val="4"/>
      </rPr>
      <t>項</t>
    </r>
    <r>
      <rPr>
        <b/>
        <sz val="12"/>
        <color rgb="FF000000"/>
        <rFont val="Times New Roman"/>
        <family val="1"/>
      </rPr>
      <t>)</t>
    </r>
    <r>
      <rPr>
        <b/>
        <vertAlign val="superscript"/>
        <sz val="12"/>
        <color rgb="FF000000"/>
        <rFont val="標楷體"/>
        <family val="4"/>
      </rPr>
      <t>註</t>
    </r>
    <r>
      <rPr>
        <b/>
        <vertAlign val="superscript"/>
        <sz val="12"/>
        <color rgb="FF000000"/>
        <rFont val="Times New Roman"/>
        <family val="1"/>
      </rPr>
      <t>6</t>
    </r>
  </si>
  <si>
    <r>
      <rPr>
        <sz val="12"/>
        <color rgb="FF000000"/>
        <rFont val="Times New Roman"/>
        <family val="1"/>
      </rPr>
      <t>1.12~18</t>
    </r>
    <r>
      <rPr>
        <sz val="12"/>
        <color rgb="FF000000"/>
        <rFont val="標楷體"/>
        <family val="4"/>
      </rPr>
      <t>歲青少年就醫率</t>
    </r>
  </si>
  <si>
    <r>
      <rPr>
        <sz val="12"/>
        <color rgb="FF000000"/>
        <rFont val="Times New Roman"/>
        <family val="1"/>
      </rPr>
      <t>2.</t>
    </r>
    <r>
      <rPr>
        <sz val="12"/>
        <color rgb="FF000000"/>
        <rFont val="標楷體"/>
        <family val="4"/>
      </rPr>
      <t>總服務人次</t>
    </r>
  </si>
  <si>
    <r>
      <rPr>
        <sz val="12"/>
        <color rgb="FF000000"/>
        <rFont val="Times New Roman"/>
        <family val="1"/>
      </rPr>
      <t>3.</t>
    </r>
    <r>
      <rPr>
        <sz val="12"/>
        <color rgb="FF000000"/>
        <rFont val="標楷體"/>
        <family val="4"/>
      </rPr>
      <t>總服務人數</t>
    </r>
  </si>
  <si>
    <t>改善建議：113年服務人次以及服務利用率逐漸上升，毋須提改善建議。</t>
  </si>
  <si>
    <r>
      <rPr>
        <b/>
        <sz val="12"/>
        <color rgb="FF000000"/>
        <rFont val="標楷體"/>
        <family val="4"/>
      </rPr>
      <t xml:space="preserve">參考資料：
</t>
    </r>
    <r>
      <rPr>
        <b/>
        <sz val="13.2"/>
        <color rgb="FF000000"/>
        <rFont val="Times New Roman"/>
        <family val="1"/>
      </rPr>
      <t>12~18</t>
    </r>
    <r>
      <rPr>
        <b/>
        <sz val="13.2"/>
        <color rgb="FF000000"/>
        <rFont val="標楷體"/>
        <family val="4"/>
      </rPr>
      <t>歲青少年利用一般服務之牙周暨齲齒控制基本處置</t>
    </r>
    <r>
      <rPr>
        <b/>
        <sz val="13.2"/>
        <color rgb="FF000000"/>
        <rFont val="Times New Roman"/>
        <family val="1"/>
      </rPr>
      <t>(91014C)</t>
    </r>
    <r>
      <rPr>
        <b/>
        <sz val="13.2"/>
        <color rgb="FF000000"/>
        <rFont val="標楷體"/>
        <family val="4"/>
      </rPr>
      <t>情形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</si>
  <si>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服務人數</t>
    </r>
    <r>
      <rPr>
        <sz val="12"/>
        <color rgb="FF000000"/>
        <rFont val="Times New Roman"/>
        <family val="1"/>
      </rPr>
      <t>(E)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</si>
  <si>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服務人次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</si>
  <si>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平均每人利用次數</t>
    </r>
  </si>
  <si>
    <r>
      <rPr>
        <sz val="12"/>
        <color rgb="FF000000"/>
        <rFont val="Times New Roman"/>
        <family val="1"/>
      </rPr>
      <t>--</t>
    </r>
    <r>
      <rPr>
        <sz val="12"/>
        <color rgb="FF000000"/>
        <rFont val="標楷體"/>
        <family val="4"/>
      </rPr>
      <t>利用率</t>
    </r>
    <r>
      <rPr>
        <sz val="12"/>
        <color rgb="FF000000"/>
        <rFont val="Times New Roman"/>
        <family val="1"/>
      </rPr>
      <t>(E/Z)</t>
    </r>
  </si>
  <si>
    <t>資料來源：健保署；擷取日期：114/5/15</t>
  </si>
  <si>
    <t>製表人：李羿萱，分機：2630</t>
  </si>
  <si>
    <t xml:space="preserve">註：1.111年新增計畫，歷年總額協定事項略以：
       (1)執行目標及預期效益之評估指標如上表。
       (2)依111~113年度預算執行結果，於一般服務扣減與本項重複部分之費用，114先於一般服務
          扣減本計畫專款與一般服務重複費用，減列0.2百萬元，已納入基期處理，未來不再於年度
    結束扣除。
    2.依計畫內容所訂之「青少年齲齒控制照護處置」(主要施行牙菌斑偵測、去除維護教導及牙菌
       斑清除，支付300點)、「青少年齲齒氟化物治療」(主要實施齲前白斑患者氟化物治療，支付
       500點)，均為每90天申報1次，自111.3.11公告生效；112.1.1起「青少年齲齒氟化物治療」新增
       初期齲齒、琺瑯缺損等診斷得適用。
    3.111年以前一般服務已給付不分年齡之牙周暨齲齒控制基本處置(91014C，100點)，處置內容包
       括：牙菌斑偵測、去除維護教導，每360天限申報1次(若併牙菌斑去除照護91020C實施，每180天
       限申報1次。    
    4.一般服務扣減與本項重複部分費用，其扣減計算方式：
       (1)111年：申報P7101C「青少年齲齒控制照護處置」者，若其曾於108至110年任一年申報醫令
            代碼91014C「牙周暨齲齒控制基本處置」，  將依其申報91014C之點數扣減 一般服務費用。
       (2)112、113年：112(113)年執行P7101C青少年齲齒控制照護處置(排除案件分類14醫不足方案)
            且沒有申報91014C「牙周暨齲齒控制基本處置」+91004C「牙結石清除-全口」者，於111
            (112)年一般服務申報91004C+91014C，則扣減91014C之費用。
    5.執行目標：
       (1)111年本會協定執行目標：111年原協定預算為271.5百萬元，執行目標為服務12~18歲青少年
            90萬人次，113年預算下修為171.5百萬元，若依預算等比例換算協定執行目標為56.9萬人次
            (90萬人次/271.5*171.5)。
       (2)113、114年健保署修訂計畫執行目標如上表。
    6.以113年提報指標暫列，請健保署視需要更新。
    7.114年預算執行率，以申報點數為分子，並擷取到總額協商前可取得之月份(如1~6月或1~5月)。
</t>
  </si>
  <si>
    <t>資料</t>
  </si>
  <si>
    <t>使用</t>
  </si>
  <si>
    <t>指標要覽</t>
  </si>
  <si>
    <t>V</t>
  </si>
  <si>
    <r>
      <rPr>
        <sz val="12"/>
        <color rgb="FF000000"/>
        <rFont val="標楷體"/>
        <family val="4"/>
      </rPr>
      <t>執行成果評核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請提供至</t>
    </r>
    <r>
      <rPr>
        <sz val="12"/>
        <color rgb="FF000000"/>
        <rFont val="Times New Roman"/>
        <family val="1"/>
      </rPr>
      <t>113</t>
    </r>
    <r>
      <rPr>
        <sz val="12"/>
        <color rgb="FF000000"/>
        <rFont val="標楷體"/>
        <family val="4"/>
      </rPr>
      <t>年資料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</si>
  <si>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標楷體"/>
        <family val="4"/>
      </rPr>
      <t>評核指標摘要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請提供至</t>
    </r>
    <r>
      <rPr>
        <sz val="12"/>
        <color rgb="FF000000"/>
        <rFont val="Times New Roman"/>
        <family val="1"/>
      </rPr>
      <t>113</t>
    </r>
    <r>
      <rPr>
        <sz val="12"/>
        <color rgb="FF000000"/>
        <rFont val="標楷體"/>
        <family val="4"/>
      </rPr>
      <t>年資料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</si>
  <si>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9</t>
    </r>
    <r>
      <rPr>
        <sz val="12"/>
        <color rgb="FF000000"/>
        <rFont val="標楷體"/>
        <family val="4"/>
      </rPr>
      <t>月總額協商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請提供至</t>
    </r>
    <r>
      <rPr>
        <sz val="12"/>
        <color rgb="FF000000"/>
        <rFont val="Times New Roman"/>
        <family val="1"/>
      </rPr>
      <t>114</t>
    </r>
    <r>
      <rPr>
        <sz val="12"/>
        <color rgb="FF000000"/>
        <rFont val="標楷體"/>
        <family val="4"/>
      </rPr>
      <t>年資料</t>
    </r>
    <r>
      <rPr>
        <sz val="12"/>
        <color rgb="FF000000"/>
        <rFont val="Times New Roman"/>
        <family val="1"/>
      </rPr>
      <t>)</t>
    </r>
  </si>
  <si>
    <r>
      <rPr>
        <sz val="12"/>
        <color rgb="FF000000"/>
        <rFont val="Times New Roman"/>
        <family val="1"/>
      </rPr>
      <t>9</t>
    </r>
    <r>
      <rPr>
        <sz val="12"/>
        <color rgb="FF000000"/>
        <rFont val="標楷體"/>
        <family val="4"/>
      </rPr>
      <t>月總額協商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標楷體"/>
        <family val="4"/>
      </rPr>
      <t>請提供至</t>
    </r>
    <r>
      <rPr>
        <sz val="12"/>
        <color rgb="FF000000"/>
        <rFont val="Times New Roman"/>
        <family val="1"/>
      </rPr>
      <t>114</t>
    </r>
    <r>
      <rPr>
        <sz val="12"/>
        <color rgb="FF000000"/>
        <rFont val="標楷體"/>
        <family val="4"/>
      </rPr>
      <t>年資料</t>
    </r>
    <r>
      <rPr>
        <sz val="12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</si>
</sst>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_(* #,##0.00_);_(* \(#,##0.00\);_(* \-??_);_(@_)"/>
    <numFmt numFmtId="177" formatCode="_-* #,##0_-;\-* #,##0_-;_-* \-??_-;_-@_-"/>
    <numFmt numFmtId="178" formatCode="#,##0.0,,"/>
    <numFmt numFmtId="179" formatCode="0.0%"/>
    <numFmt numFmtId="180" formatCode="_-* #,##0.0_-;\-* #,##0.0_-;_-* \-?_-;_-@_-"/>
    <numFmt numFmtId="181" formatCode="#,##0.00,,"/>
    <numFmt numFmtId="182" formatCode="0.00_ "/>
  </numFmts>
  <fonts count="29">
    <font>
      <sz val="12"/>
      <color rgb="FF000000"/>
      <name val="新細明體"/>
      <family val="2"/>
      <charset val="136"/>
    </font>
    <font>
      <sz val="12"/>
      <color rgb="FF000000"/>
      <name val="新細明體"/>
      <family val="1"/>
      <charset val="136"/>
    </font>
    <font>
      <sz val="12"/>
      <name val="新細明體"/>
      <family val="1"/>
      <charset val="136"/>
    </font>
    <font>
      <b/>
      <sz val="14"/>
      <name val="標楷體"/>
      <family val="4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  <charset val="1"/>
    </font>
    <font>
      <sz val="11"/>
      <name val="Microsoft JhengHei"/>
      <family val="2"/>
      <charset val="136"/>
    </font>
    <font>
      <b/>
      <sz val="12"/>
      <name val="Times New Roman"/>
      <family val="1"/>
      <charset val="1"/>
    </font>
    <font>
      <b/>
      <sz val="12"/>
      <name val="標楷體"/>
      <family val="4"/>
      <charset val="136"/>
    </font>
    <font>
      <sz val="10"/>
      <name val="Times New Roman"/>
      <family val="1"/>
      <charset val="1"/>
    </font>
    <font>
      <sz val="12"/>
      <color rgb="FF000000"/>
      <name val="新細明體"/>
      <family val="2"/>
      <charset val="136"/>
    </font>
    <font>
      <b/>
      <sz val="14"/>
      <color rgb="FF000000"/>
      <name val="標楷體"/>
      <family val="4"/>
    </font>
    <font>
      <b/>
      <sz val="14"/>
      <color rgb="FF000000"/>
      <name val="Times New Roman"/>
      <family val="1"/>
    </font>
    <font>
      <sz val="14"/>
      <color rgb="FF000000"/>
      <name val="標楷體"/>
      <family val="4"/>
    </font>
    <font>
      <sz val="14"/>
      <color rgb="FF000000"/>
      <name val="Times New Roman"/>
      <family val="1"/>
    </font>
    <font>
      <sz val="12"/>
      <color rgb="FF000000"/>
      <name val="新細明體"/>
      <family val="2"/>
    </font>
    <font>
      <sz val="12"/>
      <color rgb="FF000000"/>
      <name val="標楷體"/>
      <family val="4"/>
    </font>
    <font>
      <sz val="12"/>
      <color rgb="FF000000"/>
      <name val="Times New Roman"/>
      <family val="1"/>
    </font>
    <font>
      <vertAlign val="superscript"/>
      <sz val="12"/>
      <color rgb="FF000000"/>
      <name val="標楷體"/>
      <family val="4"/>
    </font>
    <font>
      <vertAlign val="superscript"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標楷體"/>
      <family val="4"/>
    </font>
    <font>
      <sz val="12"/>
      <color rgb="FF000000"/>
      <name val="新細明體"/>
      <family val="1"/>
    </font>
    <font>
      <b/>
      <vertAlign val="superscript"/>
      <sz val="12"/>
      <color rgb="FF000000"/>
      <name val="標楷體"/>
      <family val="4"/>
    </font>
    <font>
      <b/>
      <vertAlign val="superscript"/>
      <sz val="12"/>
      <color rgb="FF000000"/>
      <name val="Times New Roman"/>
      <family val="1"/>
    </font>
    <font>
      <b/>
      <sz val="13.2"/>
      <color rgb="FF000000"/>
      <name val="Times New Roman"/>
      <family val="1"/>
    </font>
    <font>
      <b/>
      <sz val="13.2"/>
      <color rgb="FF000000"/>
      <name val="標楷體"/>
      <family val="4"/>
    </font>
    <font>
      <sz val="9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2" fillId="0" borderId="0" applyBorder="0"/>
    <xf numFmtId="0" fontId="11" fillId="0" borderId="0">
      <alignment vertical="center"/>
    </xf>
    <xf numFmtId="0" fontId="2" fillId="0" borderId="0">
      <alignment vertical="center"/>
    </xf>
    <xf numFmtId="0" fontId="2" fillId="0" borderId="0" applyBorder="0"/>
    <xf numFmtId="176" fontId="11" fillId="0" borderId="0" applyBorder="0" applyProtection="0">
      <alignment vertical="center"/>
    </xf>
  </cellStyleXfs>
  <cellXfs count="69">
    <xf numFmtId="0" fontId="0" fillId="0" borderId="0" xfId="0">
      <alignment vertical="center"/>
    </xf>
    <xf numFmtId="0" fontId="5" fillId="0" borderId="2" xfId="0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 wrapText="1"/>
    </xf>
    <xf numFmtId="49" fontId="10" fillId="0" borderId="0" xfId="0" applyNumberFormat="1" applyFont="1" applyFill="1" applyAlignment="1" applyProtection="1">
      <alignment vertical="top" wrapText="1"/>
    </xf>
    <xf numFmtId="0" fontId="3" fillId="0" borderId="0" xfId="0" applyFont="1" applyAlignment="1" applyProtection="1">
      <alignment vertical="center"/>
    </xf>
    <xf numFmtId="0" fontId="4" fillId="0" borderId="0" xfId="0" applyFont="1" applyAlignment="1" applyProtection="1">
      <alignment vertical="center"/>
    </xf>
    <xf numFmtId="0" fontId="6" fillId="0" borderId="2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center" vertical="center" wrapText="1"/>
    </xf>
    <xf numFmtId="0" fontId="7" fillId="0" borderId="0" xfId="0" applyFont="1" applyAlignment="1" applyProtection="1">
      <alignment vertical="center" wrapText="1"/>
    </xf>
    <xf numFmtId="0" fontId="8" fillId="0" borderId="4" xfId="0" applyFont="1" applyBorder="1" applyAlignment="1" applyProtection="1">
      <alignment vertical="center" wrapText="1"/>
    </xf>
    <xf numFmtId="3" fontId="7" fillId="0" borderId="0" xfId="0" applyNumberFormat="1" applyFont="1" applyAlignment="1" applyProtection="1">
      <alignment horizontal="right" vertical="center" wrapText="1"/>
    </xf>
    <xf numFmtId="0" fontId="5" fillId="0" borderId="4" xfId="0" applyFont="1" applyBorder="1" applyAlignment="1" applyProtection="1">
      <alignment horizontal="left" vertical="center" indent="1"/>
    </xf>
    <xf numFmtId="0" fontId="5" fillId="0" borderId="5" xfId="0" applyFont="1" applyBorder="1" applyAlignment="1" applyProtection="1">
      <alignment horizontal="left" vertical="center" indent="1"/>
    </xf>
    <xf numFmtId="179" fontId="6" fillId="0" borderId="6" xfId="0" applyNumberFormat="1" applyFont="1" applyBorder="1" applyAlignment="1" applyProtection="1">
      <alignment horizontal="right" vertical="center"/>
    </xf>
    <xf numFmtId="0" fontId="6" fillId="0" borderId="0" xfId="0" applyFont="1" applyAlignment="1" applyProtection="1">
      <alignment vertical="center"/>
    </xf>
    <xf numFmtId="0" fontId="7" fillId="0" borderId="2" xfId="0" applyFont="1" applyBorder="1" applyAlignment="1" applyProtection="1">
      <alignment horizontal="left" vertical="center" wrapText="1"/>
    </xf>
    <xf numFmtId="0" fontId="6" fillId="0" borderId="0" xfId="0" applyFont="1" applyAlignment="1" applyProtection="1">
      <alignment horizontal="right" vertical="center"/>
    </xf>
    <xf numFmtId="3" fontId="7" fillId="0" borderId="2" xfId="0" applyNumberFormat="1" applyFont="1" applyBorder="1" applyAlignment="1" applyProtection="1">
      <alignment horizontal="right" vertical="center" wrapText="1"/>
    </xf>
    <xf numFmtId="3" fontId="7" fillId="0" borderId="7" xfId="0" applyNumberFormat="1" applyFont="1" applyBorder="1" applyAlignment="1" applyProtection="1">
      <alignment vertical="center" wrapText="1"/>
    </xf>
    <xf numFmtId="0" fontId="6" fillId="0" borderId="4" xfId="0" applyFont="1" applyBorder="1" applyAlignment="1" applyProtection="1">
      <alignment horizontal="left" vertical="center" indent="2"/>
    </xf>
    <xf numFmtId="179" fontId="6" fillId="0" borderId="0" xfId="0" applyNumberFormat="1" applyFont="1" applyAlignment="1" applyProtection="1">
      <alignment horizontal="right" vertical="center"/>
    </xf>
    <xf numFmtId="0" fontId="6" fillId="0" borderId="4" xfId="0" applyFont="1" applyBorder="1" applyAlignment="1" applyProtection="1">
      <alignment horizontal="left" vertical="center" wrapText="1" indent="2"/>
    </xf>
    <xf numFmtId="0" fontId="5" fillId="0" borderId="4" xfId="0" applyFont="1" applyBorder="1" applyAlignment="1" applyProtection="1">
      <alignment horizontal="left" vertical="center" wrapText="1" indent="1"/>
    </xf>
    <xf numFmtId="0" fontId="6" fillId="0" borderId="4" xfId="0" applyFont="1" applyBorder="1" applyAlignment="1" applyProtection="1">
      <alignment horizontal="left" vertical="center" wrapText="1" indent="1"/>
    </xf>
    <xf numFmtId="9" fontId="6" fillId="0" borderId="0" xfId="0" applyNumberFormat="1" applyFont="1" applyAlignment="1" applyProtection="1">
      <alignment vertical="center"/>
    </xf>
    <xf numFmtId="179" fontId="6" fillId="0" borderId="0" xfId="0" applyNumberFormat="1" applyFont="1" applyAlignment="1" applyProtection="1">
      <alignment vertical="center"/>
    </xf>
    <xf numFmtId="0" fontId="6" fillId="0" borderId="5" xfId="0" applyFont="1" applyBorder="1" applyAlignment="1" applyProtection="1">
      <alignment horizontal="left" vertical="center" wrapText="1" indent="2"/>
    </xf>
    <xf numFmtId="0" fontId="6" fillId="0" borderId="6" xfId="0" applyFont="1" applyBorder="1" applyAlignment="1" applyProtection="1">
      <alignment horizontal="right" vertical="center"/>
    </xf>
    <xf numFmtId="0" fontId="9" fillId="0" borderId="4" xfId="0" applyFont="1" applyBorder="1" applyAlignment="1" applyProtection="1">
      <alignment vertical="center" wrapText="1"/>
    </xf>
    <xf numFmtId="0" fontId="9" fillId="0" borderId="4" xfId="0" applyFont="1" applyBorder="1" applyAlignment="1" applyProtection="1">
      <alignment horizontal="left" vertical="center" indent="1"/>
    </xf>
    <xf numFmtId="3" fontId="6" fillId="0" borderId="0" xfId="0" applyNumberFormat="1" applyFont="1" applyAlignment="1" applyProtection="1">
      <alignment horizontal="right" vertical="center"/>
    </xf>
    <xf numFmtId="0" fontId="9" fillId="0" borderId="4" xfId="0" applyFont="1" applyBorder="1" applyAlignment="1" applyProtection="1">
      <alignment horizontal="left" vertical="center" wrapText="1" indent="1"/>
    </xf>
    <xf numFmtId="9" fontId="6" fillId="0" borderId="0" xfId="0" applyNumberFormat="1" applyFont="1" applyAlignment="1" applyProtection="1">
      <alignment horizontal="right" vertical="center"/>
    </xf>
    <xf numFmtId="178" fontId="6" fillId="0" borderId="6" xfId="5" applyNumberFormat="1" applyFont="1" applyBorder="1" applyAlignment="1" applyProtection="1">
      <alignment horizontal="right" vertical="center"/>
    </xf>
    <xf numFmtId="181" fontId="6" fillId="0" borderId="6" xfId="5" applyNumberFormat="1" applyFont="1" applyBorder="1" applyAlignment="1" applyProtection="1">
      <alignment horizontal="right" vertical="center"/>
    </xf>
    <xf numFmtId="0" fontId="6" fillId="0" borderId="5" xfId="3" applyFont="1" applyBorder="1" applyAlignment="1" applyProtection="1">
      <alignment horizontal="left" vertical="center" wrapText="1" indent="1"/>
    </xf>
    <xf numFmtId="3" fontId="6" fillId="0" borderId="6" xfId="5" applyNumberFormat="1" applyFont="1" applyBorder="1" applyAlignment="1" applyProtection="1">
      <alignment vertical="center"/>
    </xf>
    <xf numFmtId="0" fontId="9" fillId="0" borderId="10" xfId="0" applyFont="1" applyBorder="1" applyAlignment="1" applyProtection="1">
      <alignment horizontal="left" vertical="center" wrapText="1"/>
    </xf>
    <xf numFmtId="0" fontId="9" fillId="0" borderId="11" xfId="0" applyFont="1" applyBorder="1" applyAlignment="1" applyProtection="1">
      <alignment vertical="center" wrapText="1"/>
    </xf>
    <xf numFmtId="3" fontId="6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182" fontId="6" fillId="0" borderId="0" xfId="0" applyNumberFormat="1" applyFont="1" applyAlignment="1" applyProtection="1">
      <alignment horizontal="right" vertical="center"/>
    </xf>
    <xf numFmtId="182" fontId="6" fillId="0" borderId="0" xfId="0" applyNumberFormat="1" applyFont="1" applyAlignment="1" applyProtection="1">
      <alignment vertical="center"/>
    </xf>
    <xf numFmtId="179" fontId="6" fillId="0" borderId="6" xfId="0" applyNumberFormat="1" applyFont="1" applyBorder="1" applyAlignment="1" applyProtection="1">
      <alignment vertical="center"/>
    </xf>
    <xf numFmtId="0" fontId="5" fillId="0" borderId="0" xfId="0" applyFont="1" applyAlignment="1" applyProtection="1">
      <alignment horizontal="left" vertical="center" wrapText="1"/>
    </xf>
    <xf numFmtId="0" fontId="5" fillId="0" borderId="0" xfId="4" applyFont="1" applyAlignment="1" applyProtection="1">
      <alignment horizontal="left" vertical="center"/>
    </xf>
    <xf numFmtId="0" fontId="5" fillId="0" borderId="2" xfId="0" applyFont="1" applyBorder="1" applyAlignment="1" applyProtection="1">
      <alignment horizontal="center" wrapText="1"/>
    </xf>
    <xf numFmtId="0" fontId="5" fillId="0" borderId="2" xfId="0" applyFont="1" applyBorder="1" applyAlignment="1" applyProtection="1">
      <alignment horizontal="left"/>
    </xf>
    <xf numFmtId="0" fontId="6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/>
    <xf numFmtId="0" fontId="0" fillId="2" borderId="0" xfId="0" applyNumberFormat="1" applyFill="1" applyAlignment="1" applyProtection="1">
      <alignment vertical="center"/>
    </xf>
    <xf numFmtId="0" fontId="0" fillId="0" borderId="1" xfId="0" applyNumberFormat="1" applyFill="1" applyBorder="1" applyAlignment="1" applyProtection="1">
      <alignment vertical="center" wrapText="1"/>
    </xf>
    <xf numFmtId="0" fontId="0" fillId="0" borderId="0" xfId="0" applyNumberFormat="1" applyFill="1" applyAlignment="1" applyProtection="1">
      <alignment horizontal="center" vertical="center" wrapText="1"/>
    </xf>
    <xf numFmtId="177" fontId="0" fillId="0" borderId="0" xfId="0" applyNumberFormat="1" applyFill="1" applyAlignment="1" applyProtection="1">
      <alignment horizontal="right" vertical="center"/>
    </xf>
    <xf numFmtId="178" fontId="6" fillId="0" borderId="0" xfId="0" applyNumberFormat="1" applyFont="1" applyFill="1" applyAlignment="1" applyProtection="1">
      <alignment horizontal="right" vertical="center"/>
    </xf>
    <xf numFmtId="3" fontId="0" fillId="0" borderId="0" xfId="0" applyNumberFormat="1" applyFill="1" applyAlignment="1" applyProtection="1">
      <alignment vertical="center"/>
    </xf>
    <xf numFmtId="177" fontId="0" fillId="0" borderId="6" xfId="0" applyNumberFormat="1" applyFill="1" applyBorder="1" applyAlignment="1" applyProtection="1">
      <alignment horizontal="right" vertical="center"/>
    </xf>
    <xf numFmtId="0" fontId="0" fillId="0" borderId="6" xfId="0" applyNumberFormat="1" applyFill="1" applyBorder="1" applyAlignment="1" applyProtection="1">
      <alignment vertical="center"/>
    </xf>
    <xf numFmtId="3" fontId="6" fillId="0" borderId="0" xfId="0" applyNumberFormat="1" applyFont="1" applyFill="1" applyAlignment="1" applyProtection="1">
      <alignment vertical="center"/>
    </xf>
    <xf numFmtId="180" fontId="6" fillId="0" borderId="0" xfId="0" applyNumberFormat="1" applyFont="1" applyFill="1" applyAlignment="1" applyProtection="1">
      <alignment horizontal="right" vertical="center"/>
    </xf>
    <xf numFmtId="10" fontId="6" fillId="0" borderId="0" xfId="0" applyNumberFormat="1" applyFont="1" applyFill="1" applyAlignment="1" applyProtection="1">
      <alignment horizontal="right" vertical="center"/>
    </xf>
    <xf numFmtId="3" fontId="1" fillId="0" borderId="0" xfId="0" applyNumberFormat="1" applyFont="1" applyFill="1" applyAlignment="1" applyProtection="1">
      <alignment horizontal="right" vertical="center"/>
    </xf>
    <xf numFmtId="177" fontId="0" fillId="0" borderId="8" xfId="0" applyNumberFormat="1" applyFill="1" applyBorder="1" applyAlignment="1" applyProtection="1">
      <alignment horizontal="right" vertical="center"/>
    </xf>
    <xf numFmtId="177" fontId="0" fillId="0" borderId="0" xfId="0" applyNumberFormat="1" applyFill="1" applyAlignment="1" applyProtection="1">
      <alignment vertical="center"/>
    </xf>
    <xf numFmtId="0" fontId="0" fillId="0" borderId="5" xfId="0" applyNumberFormat="1" applyFill="1" applyBorder="1" applyAlignment="1" applyProtection="1">
      <alignment vertical="center" wrapText="1"/>
    </xf>
    <xf numFmtId="177" fontId="0" fillId="0" borderId="6" xfId="0" applyNumberFormat="1" applyFill="1" applyBorder="1" applyAlignment="1" applyProtection="1">
      <alignment vertical="center"/>
    </xf>
    <xf numFmtId="177" fontId="0" fillId="0" borderId="9" xfId="0" applyNumberFormat="1" applyFill="1" applyBorder="1" applyAlignment="1" applyProtection="1">
      <alignment horizontal="right" vertical="center"/>
    </xf>
    <xf numFmtId="0" fontId="0" fillId="0" borderId="10" xfId="0" applyNumberForma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vertical="center"/>
    </xf>
  </cellXfs>
  <cellStyles count="7">
    <cellStyle name="一般" xfId="0" builtinId="0"/>
    <cellStyle name="一般 4" xfId="1"/>
    <cellStyle name="一般 7 3 2" xfId="2"/>
    <cellStyle name="一般 97" xfId="3"/>
    <cellStyle name="一般_5-5品質指標" xfId="4"/>
    <cellStyle name="一般_CH04_98指標要覽(個論-牙醫)" xfId="5"/>
    <cellStyle name="千分位 2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48576"/>
  <sheetViews>
    <sheetView tabSelected="1" zoomScaleNormal="90" workbookViewId="0"/>
  </sheetViews>
  <sheetFormatPr defaultColWidth="9" defaultRowHeight="17"/>
  <cols>
    <col min="1" max="1" width="46" customWidth="1"/>
    <col min="2" max="2" width="9" customWidth="1"/>
    <col min="3" max="3" width="10.36328125" customWidth="1"/>
    <col min="4" max="10" width="10" customWidth="1"/>
    <col min="11" max="12" width="9" customWidth="1"/>
    <col min="13" max="14" width="16.81640625" customWidth="1"/>
    <col min="15" max="15" width="12.90625" customWidth="1"/>
    <col min="16" max="16" width="9" customWidth="1"/>
  </cols>
  <sheetData>
    <row r="1" spans="1:16" ht="3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6" ht="18" customHeight="1">
      <c r="A2" s="5" t="s">
        <v>1</v>
      </c>
    </row>
    <row r="3" spans="1:16" ht="34.5" customHeight="1">
      <c r="A3" s="51" t="s">
        <v>2</v>
      </c>
      <c r="B3" s="6">
        <v>105</v>
      </c>
      <c r="C3" s="7">
        <v>106</v>
      </c>
      <c r="D3" s="7">
        <v>107</v>
      </c>
      <c r="E3" s="7">
        <v>108</v>
      </c>
      <c r="F3" s="7">
        <v>109</v>
      </c>
      <c r="G3" s="7">
        <v>110</v>
      </c>
      <c r="H3" s="7">
        <v>111</v>
      </c>
      <c r="I3" s="7">
        <v>112</v>
      </c>
      <c r="J3" s="7">
        <v>113</v>
      </c>
      <c r="K3" s="7" t="s">
        <v>3</v>
      </c>
      <c r="P3" s="8"/>
    </row>
    <row r="4" spans="1:16" ht="15" customHeight="1">
      <c r="A4" s="9" t="s">
        <v>4</v>
      </c>
      <c r="B4" s="52"/>
      <c r="C4" s="52"/>
      <c r="D4" s="52"/>
      <c r="E4" s="52"/>
      <c r="F4" s="52"/>
      <c r="G4" s="52"/>
      <c r="H4" s="52"/>
      <c r="M4" s="10"/>
    </row>
    <row r="5" spans="1:16" ht="15" customHeight="1">
      <c r="A5" s="11" t="s">
        <v>5</v>
      </c>
      <c r="B5" s="53" t="s">
        <v>6</v>
      </c>
      <c r="C5" s="53" t="s">
        <v>6</v>
      </c>
      <c r="D5" s="53" t="s">
        <v>6</v>
      </c>
      <c r="E5" s="53" t="s">
        <v>6</v>
      </c>
      <c r="F5" s="53" t="s">
        <v>6</v>
      </c>
      <c r="G5" s="53" t="s">
        <v>6</v>
      </c>
      <c r="H5" s="54">
        <v>271500000</v>
      </c>
      <c r="I5" s="54">
        <v>271500000</v>
      </c>
      <c r="J5" s="54"/>
      <c r="K5" s="54">
        <v>171500000</v>
      </c>
      <c r="M5" s="55"/>
      <c r="N5" s="55"/>
    </row>
    <row r="6" spans="1:16" ht="15" customHeight="1">
      <c r="A6" s="11" t="s">
        <v>7</v>
      </c>
      <c r="B6" s="53" t="s">
        <v>6</v>
      </c>
      <c r="C6" s="53" t="s">
        <v>6</v>
      </c>
      <c r="D6" s="53" t="s">
        <v>6</v>
      </c>
      <c r="E6" s="53" t="s">
        <v>6</v>
      </c>
      <c r="F6" s="53" t="s">
        <v>6</v>
      </c>
      <c r="G6" s="53" t="s">
        <v>6</v>
      </c>
      <c r="H6" s="54">
        <v>9929280</v>
      </c>
      <c r="I6" s="54">
        <v>46869832</v>
      </c>
      <c r="J6" s="54"/>
    </row>
    <row r="7" spans="1:16" ht="15" customHeight="1">
      <c r="A7" s="12" t="s">
        <v>8</v>
      </c>
      <c r="B7" s="56" t="s">
        <v>6</v>
      </c>
      <c r="C7" s="56" t="s">
        <v>6</v>
      </c>
      <c r="D7" s="56" t="s">
        <v>6</v>
      </c>
      <c r="E7" s="56" t="s">
        <v>6</v>
      </c>
      <c r="F7" s="56" t="s">
        <v>6</v>
      </c>
      <c r="G7" s="56" t="s">
        <v>6</v>
      </c>
      <c r="H7" s="13">
        <f>H6/H5</f>
        <v>3.6571933701657455E-2</v>
      </c>
      <c r="I7" s="13">
        <f>I6/I5</f>
        <v>0.17263289871086557</v>
      </c>
      <c r="J7" s="13"/>
      <c r="K7" s="57"/>
    </row>
    <row r="8" spans="1:16" ht="15" customHeight="1">
      <c r="A8" s="11" t="s">
        <v>9</v>
      </c>
      <c r="B8" s="53"/>
      <c r="C8" s="53"/>
      <c r="D8" s="53" t="s">
        <v>6</v>
      </c>
      <c r="E8" s="53" t="s">
        <v>6</v>
      </c>
      <c r="F8" s="53" t="s">
        <v>6</v>
      </c>
      <c r="G8" s="53" t="s">
        <v>6</v>
      </c>
      <c r="H8" s="54">
        <v>10353800</v>
      </c>
      <c r="I8" s="54">
        <v>47002860</v>
      </c>
      <c r="J8" s="54">
        <v>12519500</v>
      </c>
      <c r="L8" s="14" t="s">
        <v>10</v>
      </c>
      <c r="M8" s="15" t="s">
        <v>11</v>
      </c>
      <c r="N8" s="15" t="s">
        <v>12</v>
      </c>
    </row>
    <row r="9" spans="1:16" ht="15" customHeight="1">
      <c r="A9" s="11" t="s">
        <v>13</v>
      </c>
      <c r="B9" s="53"/>
      <c r="C9" s="53"/>
      <c r="D9" s="53" t="s">
        <v>6</v>
      </c>
      <c r="E9" s="53" t="s">
        <v>6</v>
      </c>
      <c r="F9" s="53" t="s">
        <v>6</v>
      </c>
      <c r="G9" s="53" t="s">
        <v>6</v>
      </c>
      <c r="H9" s="16">
        <v>694</v>
      </c>
      <c r="I9" s="58">
        <v>1772</v>
      </c>
      <c r="J9" s="58">
        <v>994</v>
      </c>
      <c r="M9" s="17">
        <v>47604780</v>
      </c>
      <c r="N9" s="17">
        <v>62274250</v>
      </c>
      <c r="O9" s="18">
        <f>SUM(M9:N9)</f>
        <v>109879030</v>
      </c>
    </row>
    <row r="10" spans="1:16" ht="15" customHeight="1">
      <c r="A10" s="11" t="s">
        <v>14</v>
      </c>
      <c r="B10" s="53" t="s">
        <v>6</v>
      </c>
      <c r="C10" s="53" t="s">
        <v>6</v>
      </c>
      <c r="D10" s="53" t="s">
        <v>6</v>
      </c>
      <c r="E10" s="53" t="s">
        <v>6</v>
      </c>
      <c r="F10" s="53" t="s">
        <v>6</v>
      </c>
      <c r="G10" s="53" t="s">
        <v>6</v>
      </c>
      <c r="H10" s="58">
        <v>16048</v>
      </c>
      <c r="I10" s="58">
        <v>61811</v>
      </c>
      <c r="J10" s="58">
        <v>18115</v>
      </c>
    </row>
    <row r="11" spans="1:16" ht="15" customHeight="1">
      <c r="A11" s="19" t="s">
        <v>15</v>
      </c>
      <c r="B11" s="53"/>
      <c r="C11" s="53"/>
      <c r="D11" s="53"/>
      <c r="E11" s="53"/>
      <c r="F11" s="53"/>
      <c r="G11" s="53"/>
      <c r="H11" s="20">
        <f>H10/H38</f>
        <v>1.1594219651508737E-2</v>
      </c>
      <c r="I11" s="20">
        <f>I10/I38</f>
        <v>4.5582795483239139E-2</v>
      </c>
      <c r="J11" s="20"/>
    </row>
    <row r="12" spans="1:16" ht="15" customHeight="1">
      <c r="A12" s="11" t="s">
        <v>16</v>
      </c>
      <c r="B12" s="53" t="s">
        <v>6</v>
      </c>
      <c r="C12" s="53" t="s">
        <v>6</v>
      </c>
      <c r="D12" s="53" t="s">
        <v>6</v>
      </c>
      <c r="E12" s="53" t="s">
        <v>6</v>
      </c>
      <c r="F12" s="53" t="s">
        <v>6</v>
      </c>
      <c r="G12" s="53" t="s">
        <v>6</v>
      </c>
      <c r="H12" s="58">
        <v>27312</v>
      </c>
      <c r="I12" s="58">
        <v>121498</v>
      </c>
      <c r="J12" s="58">
        <v>31402</v>
      </c>
    </row>
    <row r="13" spans="1:16" ht="18.75" customHeight="1">
      <c r="A13" s="11" t="s">
        <v>17</v>
      </c>
      <c r="B13" s="53"/>
      <c r="C13" s="53"/>
      <c r="D13" s="53"/>
      <c r="E13" s="53"/>
      <c r="F13" s="53"/>
      <c r="G13" s="53"/>
    </row>
    <row r="14" spans="1:16" ht="15" customHeight="1">
      <c r="A14" s="21" t="s">
        <v>18</v>
      </c>
      <c r="B14" s="53"/>
      <c r="C14" s="53" t="s">
        <v>6</v>
      </c>
      <c r="D14" s="53" t="s">
        <v>6</v>
      </c>
      <c r="E14" s="53" t="s">
        <v>6</v>
      </c>
      <c r="F14" s="53" t="s">
        <v>6</v>
      </c>
      <c r="G14" s="53" t="s">
        <v>6</v>
      </c>
      <c r="H14" s="58">
        <v>14184</v>
      </c>
      <c r="I14" s="58">
        <v>53409</v>
      </c>
      <c r="J14" s="58">
        <v>15775</v>
      </c>
    </row>
    <row r="15" spans="1:16" ht="15" customHeight="1">
      <c r="A15" s="21" t="s">
        <v>19</v>
      </c>
      <c r="B15" s="53"/>
      <c r="C15" s="53" t="s">
        <v>6</v>
      </c>
      <c r="D15" s="53" t="s">
        <v>6</v>
      </c>
      <c r="E15" s="53" t="s">
        <v>6</v>
      </c>
      <c r="F15" s="53" t="s">
        <v>6</v>
      </c>
      <c r="G15" s="53" t="s">
        <v>6</v>
      </c>
      <c r="H15" s="58">
        <v>16511</v>
      </c>
      <c r="I15" s="58">
        <v>68734</v>
      </c>
      <c r="J15" s="58">
        <v>17713</v>
      </c>
    </row>
    <row r="16" spans="1:16" ht="15" customHeight="1">
      <c r="A16" s="21" t="s">
        <v>20</v>
      </c>
      <c r="B16" s="53"/>
      <c r="C16" s="53" t="s">
        <v>6</v>
      </c>
      <c r="D16" s="53" t="s">
        <v>6</v>
      </c>
      <c r="E16" s="53" t="s">
        <v>6</v>
      </c>
      <c r="F16" s="53" t="s">
        <v>6</v>
      </c>
      <c r="G16" s="53" t="s">
        <v>6</v>
      </c>
      <c r="H16" s="59">
        <f>H15/H14</f>
        <v>1.1640580936266216</v>
      </c>
      <c r="I16" s="59">
        <f>I15/I14</f>
        <v>1.286936658615589</v>
      </c>
      <c r="J16" s="59">
        <v>1.1229</v>
      </c>
    </row>
    <row r="17" spans="1:11" ht="15" customHeight="1">
      <c r="A17" s="21" t="s">
        <v>21</v>
      </c>
      <c r="B17" s="53"/>
      <c r="C17" s="53"/>
      <c r="D17" s="53" t="s">
        <v>6</v>
      </c>
      <c r="E17" s="53" t="s">
        <v>6</v>
      </c>
      <c r="F17" s="53" t="s">
        <v>6</v>
      </c>
      <c r="G17" s="53" t="s">
        <v>6</v>
      </c>
      <c r="H17" s="20">
        <f>H14/H38</f>
        <v>1.0247533121697404E-2</v>
      </c>
      <c r="I17" s="20">
        <f>I14/I38</f>
        <v>3.9386703401729777E-2</v>
      </c>
      <c r="J17" s="20"/>
    </row>
    <row r="18" spans="1:11" ht="19.5" customHeight="1">
      <c r="A18" s="22" t="s">
        <v>22</v>
      </c>
      <c r="B18" s="53"/>
      <c r="C18" s="53"/>
      <c r="D18" s="53"/>
      <c r="E18" s="53"/>
      <c r="F18" s="53"/>
      <c r="G18" s="53"/>
      <c r="H18" s="16"/>
    </row>
    <row r="19" spans="1:11" ht="15" customHeight="1">
      <c r="A19" s="21" t="s">
        <v>23</v>
      </c>
      <c r="B19" s="53"/>
      <c r="C19" s="53" t="s">
        <v>6</v>
      </c>
      <c r="D19" s="53" t="s">
        <v>6</v>
      </c>
      <c r="E19" s="53" t="s">
        <v>6</v>
      </c>
      <c r="F19" s="53" t="s">
        <v>6</v>
      </c>
      <c r="G19" s="53" t="s">
        <v>6</v>
      </c>
      <c r="H19" s="58">
        <v>8829</v>
      </c>
      <c r="I19" s="58">
        <v>39376</v>
      </c>
      <c r="J19" s="58">
        <v>11999</v>
      </c>
    </row>
    <row r="20" spans="1:11" ht="15" customHeight="1">
      <c r="A20" s="21" t="s">
        <v>24</v>
      </c>
      <c r="B20" s="53"/>
      <c r="C20" s="53" t="s">
        <v>6</v>
      </c>
      <c r="D20" s="53" t="s">
        <v>6</v>
      </c>
      <c r="E20" s="53" t="s">
        <v>6</v>
      </c>
      <c r="F20" s="53" t="s">
        <v>6</v>
      </c>
      <c r="G20" s="53" t="s">
        <v>6</v>
      </c>
      <c r="H20" s="58">
        <v>10801</v>
      </c>
      <c r="I20" s="58">
        <v>52764</v>
      </c>
      <c r="J20" s="58">
        <v>13689</v>
      </c>
    </row>
    <row r="21" spans="1:11" ht="15" customHeight="1">
      <c r="A21" s="21" t="s">
        <v>25</v>
      </c>
      <c r="B21" s="53"/>
      <c r="C21" s="53"/>
      <c r="D21" s="53" t="s">
        <v>6</v>
      </c>
      <c r="E21" s="53" t="s">
        <v>6</v>
      </c>
      <c r="F21" s="53" t="s">
        <v>6</v>
      </c>
      <c r="G21" s="53" t="s">
        <v>6</v>
      </c>
      <c r="H21" s="59">
        <f>H20/H19</f>
        <v>1.2233548533242722</v>
      </c>
      <c r="I21" s="59">
        <f>I20/I19</f>
        <v>1.3400040633888664</v>
      </c>
      <c r="J21" s="59">
        <v>1.1408</v>
      </c>
    </row>
    <row r="22" spans="1:11" ht="15" customHeight="1">
      <c r="A22" s="21" t="s">
        <v>26</v>
      </c>
      <c r="B22" s="53"/>
      <c r="C22" s="53" t="s">
        <v>6</v>
      </c>
      <c r="D22" s="53" t="s">
        <v>6</v>
      </c>
      <c r="E22" s="53" t="s">
        <v>6</v>
      </c>
      <c r="F22" s="53" t="s">
        <v>6</v>
      </c>
      <c r="G22" s="53" t="s">
        <v>6</v>
      </c>
      <c r="H22" s="20">
        <f>H19/H38</f>
        <v>6.3786992337469244E-3</v>
      </c>
      <c r="I22" s="20">
        <f>I19/I38</f>
        <v>2.9038005451263112E-2</v>
      </c>
      <c r="J22" s="20"/>
    </row>
    <row r="23" spans="1:11" ht="72" customHeight="1">
      <c r="A23" s="23" t="s">
        <v>27</v>
      </c>
      <c r="B23" s="53"/>
      <c r="C23" s="53"/>
      <c r="D23" s="53"/>
      <c r="E23" s="53" t="s">
        <v>6</v>
      </c>
      <c r="F23" s="53" t="s">
        <v>6</v>
      </c>
      <c r="G23" s="53" t="s">
        <v>6</v>
      </c>
      <c r="H23" s="53" t="s">
        <v>6</v>
      </c>
      <c r="I23" s="53" t="s">
        <v>6</v>
      </c>
      <c r="J23" s="58">
        <v>444500</v>
      </c>
      <c r="K23" s="58">
        <v>444500</v>
      </c>
    </row>
    <row r="24" spans="1:11" ht="16.5" customHeight="1">
      <c r="A24" s="21" t="s">
        <v>28</v>
      </c>
      <c r="B24" s="53"/>
      <c r="C24" s="53"/>
      <c r="D24" s="53"/>
      <c r="E24" s="53" t="s">
        <v>6</v>
      </c>
      <c r="F24" s="53" t="s">
        <v>6</v>
      </c>
      <c r="G24" s="53" t="s">
        <v>6</v>
      </c>
      <c r="H24" s="53" t="s">
        <v>6</v>
      </c>
      <c r="I24" s="53" t="s">
        <v>6</v>
      </c>
      <c r="J24" s="53">
        <v>20444</v>
      </c>
    </row>
    <row r="25" spans="1:11" ht="16.5" customHeight="1">
      <c r="A25" s="21" t="s">
        <v>29</v>
      </c>
      <c r="B25" s="53"/>
      <c r="C25" s="53"/>
      <c r="D25" s="53"/>
      <c r="E25" s="53" t="s">
        <v>6</v>
      </c>
      <c r="F25" s="53" t="s">
        <v>6</v>
      </c>
      <c r="G25" s="53" t="s">
        <v>6</v>
      </c>
      <c r="H25" s="53" t="s">
        <v>6</v>
      </c>
      <c r="I25" s="53" t="s">
        <v>6</v>
      </c>
      <c r="J25" s="60">
        <v>4.5999999999999999E-2</v>
      </c>
    </row>
    <row r="26" spans="1:11" ht="16.5" customHeight="1">
      <c r="A26" s="23" t="s">
        <v>30</v>
      </c>
      <c r="B26" s="53"/>
      <c r="C26" s="53"/>
      <c r="D26" s="53"/>
      <c r="E26" s="53" t="s">
        <v>6</v>
      </c>
    </row>
    <row r="27" spans="1:11" ht="33.75" customHeight="1">
      <c r="A27" s="23" t="s">
        <v>31</v>
      </c>
      <c r="B27" s="53"/>
      <c r="C27" s="53"/>
      <c r="D27" s="53"/>
      <c r="E27" s="53"/>
      <c r="F27" s="53" t="s">
        <v>6</v>
      </c>
      <c r="G27" s="53" t="s">
        <v>6</v>
      </c>
      <c r="H27" s="53" t="s">
        <v>6</v>
      </c>
      <c r="I27" s="53" t="s">
        <v>6</v>
      </c>
      <c r="J27" s="53">
        <v>0.51</v>
      </c>
      <c r="K27" s="24">
        <v>0.51</v>
      </c>
    </row>
    <row r="28" spans="1:11" ht="16.5" customHeight="1">
      <c r="A28" s="21" t="s">
        <v>32</v>
      </c>
      <c r="B28" s="53"/>
      <c r="C28" s="53"/>
      <c r="D28" s="53"/>
      <c r="E28" s="53" t="s">
        <v>6</v>
      </c>
      <c r="F28" s="25">
        <f>F40</f>
        <v>0.49044877752572424</v>
      </c>
      <c r="G28" s="25">
        <f>G40</f>
        <v>0.46584722956330082</v>
      </c>
      <c r="H28" s="25">
        <f>H40</f>
        <v>0.48821577039283653</v>
      </c>
      <c r="I28" s="25">
        <f>I40</f>
        <v>0.53327394367028114</v>
      </c>
      <c r="J28" s="25"/>
      <c r="K28" s="16" t="s">
        <v>33</v>
      </c>
    </row>
    <row r="29" spans="1:11" ht="54.75" customHeight="1">
      <c r="A29" s="23" t="s">
        <v>34</v>
      </c>
      <c r="B29" s="53"/>
      <c r="C29" s="53"/>
      <c r="D29" s="53"/>
      <c r="E29" s="53"/>
      <c r="F29" s="53"/>
      <c r="G29" s="53"/>
      <c r="H29" s="53"/>
      <c r="I29" s="53"/>
      <c r="J29" s="53"/>
      <c r="K29" s="61"/>
    </row>
    <row r="30" spans="1:11" ht="16.5" customHeight="1">
      <c r="A30" s="21" t="s">
        <v>35</v>
      </c>
      <c r="B30" s="53"/>
      <c r="C30" s="53"/>
      <c r="D30" s="53"/>
      <c r="E30" s="53" t="s">
        <v>6</v>
      </c>
      <c r="F30" s="53" t="s">
        <v>6</v>
      </c>
      <c r="G30" s="53" t="s">
        <v>6</v>
      </c>
      <c r="H30" s="53" t="s">
        <v>6</v>
      </c>
      <c r="I30" s="53" t="s">
        <v>6</v>
      </c>
      <c r="J30" s="53">
        <v>11999</v>
      </c>
      <c r="K30" s="16" t="s">
        <v>33</v>
      </c>
    </row>
    <row r="31" spans="1:11" ht="60.75" customHeight="1">
      <c r="A31" s="21" t="s">
        <v>36</v>
      </c>
      <c r="B31" s="53"/>
      <c r="C31" s="53"/>
      <c r="D31" s="53"/>
      <c r="E31" s="53" t="s">
        <v>6</v>
      </c>
      <c r="F31" s="53" t="s">
        <v>6</v>
      </c>
      <c r="G31" s="53" t="s">
        <v>6</v>
      </c>
      <c r="H31" s="53" t="s">
        <v>6</v>
      </c>
      <c r="I31" s="53" t="s">
        <v>6</v>
      </c>
      <c r="J31" s="53"/>
      <c r="K31" s="16" t="s">
        <v>33</v>
      </c>
    </row>
    <row r="32" spans="1:11" ht="16.5" customHeight="1">
      <c r="A32" s="26" t="s">
        <v>37</v>
      </c>
      <c r="B32" s="53"/>
      <c r="C32" s="53"/>
      <c r="D32" s="53"/>
      <c r="E32" s="53"/>
      <c r="F32" s="56" t="s">
        <v>6</v>
      </c>
      <c r="G32" s="56" t="s">
        <v>6</v>
      </c>
      <c r="H32" s="56" t="s">
        <v>6</v>
      </c>
      <c r="I32" s="56" t="s">
        <v>6</v>
      </c>
      <c r="J32" s="56"/>
      <c r="K32" s="27" t="s">
        <v>33</v>
      </c>
    </row>
    <row r="33" spans="1:16" ht="21.75" customHeight="1">
      <c r="A33" s="28" t="s">
        <v>38</v>
      </c>
      <c r="B33" s="62"/>
      <c r="C33" s="62"/>
      <c r="D33" s="62"/>
      <c r="E33" s="62"/>
      <c r="F33" s="53"/>
      <c r="H33" s="16"/>
    </row>
    <row r="34" spans="1:16" ht="20.25" customHeight="1">
      <c r="A34" s="29" t="s">
        <v>39</v>
      </c>
      <c r="B34" s="53" t="s">
        <v>6</v>
      </c>
      <c r="C34" s="53" t="s">
        <v>6</v>
      </c>
      <c r="D34" s="53" t="s">
        <v>6</v>
      </c>
      <c r="E34" s="53" t="s">
        <v>6</v>
      </c>
      <c r="F34" s="53" t="s">
        <v>6</v>
      </c>
      <c r="G34" s="53" t="s">
        <v>6</v>
      </c>
      <c r="H34" s="58">
        <v>900000</v>
      </c>
      <c r="I34" s="58">
        <v>900000</v>
      </c>
      <c r="J34" s="58">
        <v>568508</v>
      </c>
      <c r="K34" s="58">
        <f>I34/271.5*171.5</f>
        <v>568508.28729281772</v>
      </c>
    </row>
    <row r="35" spans="1:16" ht="15" customHeight="1">
      <c r="A35" s="21" t="s">
        <v>40</v>
      </c>
      <c r="B35" s="53" t="s">
        <v>6</v>
      </c>
      <c r="C35" s="53" t="s">
        <v>6</v>
      </c>
      <c r="D35" s="53" t="s">
        <v>6</v>
      </c>
      <c r="E35" s="53" t="s">
        <v>6</v>
      </c>
      <c r="F35" s="53" t="s">
        <v>6</v>
      </c>
      <c r="G35" s="53" t="s">
        <v>6</v>
      </c>
      <c r="H35" s="30">
        <v>27312</v>
      </c>
      <c r="I35" s="30">
        <v>121498</v>
      </c>
      <c r="J35" s="30">
        <v>31402</v>
      </c>
      <c r="K35" s="16" t="s">
        <v>33</v>
      </c>
    </row>
    <row r="36" spans="1:16" ht="15" customHeight="1">
      <c r="A36" s="21" t="s">
        <v>41</v>
      </c>
      <c r="B36" s="53" t="s">
        <v>6</v>
      </c>
      <c r="C36" s="53" t="s">
        <v>6</v>
      </c>
      <c r="D36" s="53" t="s">
        <v>6</v>
      </c>
      <c r="E36" s="53" t="s">
        <v>6</v>
      </c>
      <c r="F36" s="53" t="s">
        <v>6</v>
      </c>
      <c r="G36" s="53" t="s">
        <v>6</v>
      </c>
      <c r="H36" s="20">
        <f>H35/H34</f>
        <v>3.0346666666666668E-2</v>
      </c>
      <c r="I36" s="20">
        <f>I35/I34</f>
        <v>0.13499777777777777</v>
      </c>
      <c r="J36" s="20">
        <v>5.5199999999999999E-2</v>
      </c>
      <c r="K36" s="16" t="s">
        <v>33</v>
      </c>
    </row>
    <row r="37" spans="1:16" ht="65.25" customHeight="1">
      <c r="A37" s="31" t="s">
        <v>42</v>
      </c>
      <c r="B37" s="53"/>
      <c r="C37" s="53" t="s">
        <v>6</v>
      </c>
      <c r="D37" s="53" t="s">
        <v>6</v>
      </c>
      <c r="E37" s="53" t="s">
        <v>6</v>
      </c>
      <c r="F37" s="53" t="s">
        <v>6</v>
      </c>
      <c r="G37" s="53" t="s">
        <v>6</v>
      </c>
      <c r="H37" s="24">
        <v>0.4</v>
      </c>
      <c r="I37" s="24">
        <v>0.5</v>
      </c>
      <c r="J37" s="24">
        <v>0.6</v>
      </c>
      <c r="K37" s="32" t="s">
        <v>33</v>
      </c>
    </row>
    <row r="38" spans="1:16" ht="15" customHeight="1">
      <c r="A38" s="21" t="s">
        <v>43</v>
      </c>
      <c r="B38" s="53"/>
      <c r="C38" s="63"/>
      <c r="D38" s="58">
        <v>1669369</v>
      </c>
      <c r="E38" s="58">
        <v>1569500</v>
      </c>
      <c r="F38" s="58">
        <v>1508498</v>
      </c>
      <c r="G38" s="58">
        <v>1447335</v>
      </c>
      <c r="H38" s="58">
        <v>1384138</v>
      </c>
      <c r="I38" s="58">
        <v>1356016</v>
      </c>
      <c r="J38" s="58"/>
      <c r="K38" s="16" t="s">
        <v>33</v>
      </c>
    </row>
    <row r="39" spans="1:16" ht="15" customHeight="1">
      <c r="A39" s="21" t="s">
        <v>44</v>
      </c>
      <c r="B39" s="53"/>
      <c r="C39" s="63"/>
      <c r="D39" s="58">
        <v>798724</v>
      </c>
      <c r="E39" s="58">
        <v>768772</v>
      </c>
      <c r="F39" s="58">
        <v>739841</v>
      </c>
      <c r="G39" s="58">
        <v>674237</v>
      </c>
      <c r="H39" s="58">
        <v>675758</v>
      </c>
      <c r="I39" s="58">
        <v>723128</v>
      </c>
      <c r="J39" s="58">
        <v>142058</v>
      </c>
      <c r="K39" s="16" t="s">
        <v>33</v>
      </c>
    </row>
    <row r="40" spans="1:16" ht="15" customHeight="1">
      <c r="A40" s="21" t="s">
        <v>45</v>
      </c>
      <c r="B40" s="53" t="s">
        <v>6</v>
      </c>
      <c r="C40" s="63"/>
      <c r="D40" s="32">
        <f t="shared" ref="D40:I40" si="0">D39/D38</f>
        <v>0.47845862718188731</v>
      </c>
      <c r="E40" s="25">
        <f t="shared" si="0"/>
        <v>0.48981968779866197</v>
      </c>
      <c r="F40" s="25">
        <f t="shared" si="0"/>
        <v>0.49044877752572424</v>
      </c>
      <c r="G40" s="25">
        <f t="shared" si="0"/>
        <v>0.46584722956330082</v>
      </c>
      <c r="H40" s="25">
        <f t="shared" si="0"/>
        <v>0.48821577039283653</v>
      </c>
      <c r="I40" s="25">
        <f t="shared" si="0"/>
        <v>0.53327394367028114</v>
      </c>
      <c r="J40" s="25"/>
      <c r="K40" s="16" t="s">
        <v>33</v>
      </c>
    </row>
    <row r="41" spans="1:16" ht="39" customHeight="1">
      <c r="A41" s="64" t="s">
        <v>46</v>
      </c>
      <c r="B41" s="56"/>
      <c r="C41" s="65"/>
      <c r="D41" s="56" t="s">
        <v>6</v>
      </c>
      <c r="E41" s="56" t="s">
        <v>6</v>
      </c>
      <c r="F41" s="56" t="s">
        <v>6</v>
      </c>
      <c r="G41" s="56" t="s">
        <v>6</v>
      </c>
      <c r="H41" s="33">
        <v>1082400</v>
      </c>
      <c r="I41" s="34">
        <v>80210</v>
      </c>
      <c r="J41" s="34"/>
      <c r="K41" s="27" t="s">
        <v>33</v>
      </c>
    </row>
    <row r="42" spans="1:16" ht="21" customHeight="1">
      <c r="A42" s="28" t="s">
        <v>47</v>
      </c>
      <c r="B42" s="53"/>
      <c r="C42" s="63"/>
      <c r="D42" s="53"/>
      <c r="E42" s="53"/>
      <c r="F42" s="53"/>
      <c r="G42" s="53"/>
      <c r="H42" s="63"/>
    </row>
    <row r="43" spans="1:16" ht="15" customHeight="1">
      <c r="A43" s="23" t="s">
        <v>48</v>
      </c>
      <c r="B43" s="53"/>
      <c r="C43" s="63"/>
      <c r="D43" s="53"/>
      <c r="E43" s="53" t="s">
        <v>6</v>
      </c>
      <c r="F43" s="53" t="s">
        <v>6</v>
      </c>
      <c r="G43" s="53" t="s">
        <v>6</v>
      </c>
      <c r="H43" s="20">
        <f>H40</f>
        <v>0.48821577039283653</v>
      </c>
      <c r="I43" s="20">
        <f>I40</f>
        <v>0.53327394367028114</v>
      </c>
      <c r="J43" s="20"/>
      <c r="K43" s="16" t="s">
        <v>33</v>
      </c>
    </row>
    <row r="44" spans="1:16" ht="15" customHeight="1">
      <c r="A44" s="23" t="s">
        <v>49</v>
      </c>
      <c r="B44" s="53"/>
      <c r="C44" s="63"/>
      <c r="D44" s="53"/>
      <c r="E44" s="53" t="s">
        <v>6</v>
      </c>
      <c r="F44" s="53" t="s">
        <v>6</v>
      </c>
      <c r="G44" s="53" t="s">
        <v>6</v>
      </c>
      <c r="H44" s="58">
        <f>H12</f>
        <v>27312</v>
      </c>
      <c r="I44" s="58">
        <f>I12</f>
        <v>121498</v>
      </c>
      <c r="J44" s="58">
        <v>31402</v>
      </c>
      <c r="K44" s="16" t="s">
        <v>33</v>
      </c>
    </row>
    <row r="45" spans="1:16" ht="15" customHeight="1">
      <c r="A45" s="35" t="s">
        <v>50</v>
      </c>
      <c r="B45" s="66"/>
      <c r="C45" s="65"/>
      <c r="D45" s="56"/>
      <c r="E45" s="56" t="s">
        <v>6</v>
      </c>
      <c r="F45" s="56" t="s">
        <v>6</v>
      </c>
      <c r="G45" s="56" t="s">
        <v>6</v>
      </c>
      <c r="H45" s="36">
        <f>H10</f>
        <v>16048</v>
      </c>
      <c r="I45" s="36">
        <f>I10</f>
        <v>61811</v>
      </c>
      <c r="J45" s="36">
        <v>18115</v>
      </c>
      <c r="K45" s="27" t="s">
        <v>33</v>
      </c>
    </row>
    <row r="46" spans="1:16" s="50" customFormat="1" ht="21" customHeight="1">
      <c r="A46" s="37" t="s">
        <v>51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/>
      <c r="M46"/>
      <c r="N46"/>
      <c r="O46"/>
      <c r="P46"/>
    </row>
    <row r="47" spans="1:16" s="50" customFormat="1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/>
      <c r="M47"/>
      <c r="N47"/>
      <c r="O47"/>
      <c r="P47"/>
    </row>
    <row r="48" spans="1:16" ht="51" customHeight="1">
      <c r="A48" s="38" t="s">
        <v>52</v>
      </c>
      <c r="B48" s="53"/>
      <c r="C48" s="53"/>
      <c r="D48" s="7"/>
      <c r="E48" s="67"/>
      <c r="F48" s="67"/>
      <c r="G48" s="67"/>
      <c r="H48" s="67"/>
      <c r="I48" s="67"/>
      <c r="J48" s="67"/>
      <c r="K48" s="67"/>
    </row>
    <row r="49" spans="1:11" ht="15" customHeight="1">
      <c r="A49" s="23" t="s">
        <v>53</v>
      </c>
      <c r="C49" s="39">
        <v>356205</v>
      </c>
      <c r="D49" s="30">
        <v>352416</v>
      </c>
      <c r="E49" s="30">
        <v>341841</v>
      </c>
      <c r="F49" s="30">
        <v>336261</v>
      </c>
      <c r="G49" s="30">
        <v>281698</v>
      </c>
      <c r="H49" s="30">
        <v>272190</v>
      </c>
      <c r="I49" s="55">
        <v>280689</v>
      </c>
      <c r="J49" s="55">
        <v>52269</v>
      </c>
    </row>
    <row r="50" spans="1:11" ht="15" customHeight="1">
      <c r="A50" s="23" t="s">
        <v>54</v>
      </c>
      <c r="C50" s="39">
        <v>364711</v>
      </c>
      <c r="D50" s="30">
        <v>361083</v>
      </c>
      <c r="E50" s="30">
        <v>350595</v>
      </c>
      <c r="F50" s="30">
        <v>344380</v>
      </c>
      <c r="G50" s="30">
        <v>287620</v>
      </c>
      <c r="H50" s="30">
        <v>278011</v>
      </c>
      <c r="I50" s="55">
        <v>288103</v>
      </c>
      <c r="J50" s="55">
        <v>53506</v>
      </c>
    </row>
    <row r="51" spans="1:11" ht="15" customHeight="1">
      <c r="A51" s="23" t="s">
        <v>55</v>
      </c>
      <c r="B51" s="68"/>
      <c r="C51" s="40">
        <v>1.02</v>
      </c>
      <c r="D51" s="16">
        <v>1.02</v>
      </c>
      <c r="E51" s="41">
        <f>E50/E49</f>
        <v>1.0256083968862717</v>
      </c>
      <c r="F51" s="41">
        <f>F50/F49</f>
        <v>1.0241449350355825</v>
      </c>
      <c r="G51" s="41">
        <f>G50/G49</f>
        <v>1.0210225134718742</v>
      </c>
      <c r="H51" s="41">
        <f>H50/H49</f>
        <v>1.0213857966861384</v>
      </c>
      <c r="I51" s="42">
        <v>1.02641357516682</v>
      </c>
      <c r="J51" s="42">
        <v>1.0237000000000001</v>
      </c>
    </row>
    <row r="52" spans="1:11" ht="15" customHeight="1">
      <c r="A52" s="35" t="s">
        <v>56</v>
      </c>
      <c r="B52" s="56"/>
      <c r="C52" s="65"/>
      <c r="D52" s="56"/>
      <c r="E52" s="43">
        <f>E49/E38</f>
        <v>0.2178024848677923</v>
      </c>
      <c r="F52" s="43">
        <f>F49/F38</f>
        <v>0.22291113412149038</v>
      </c>
      <c r="G52" s="43">
        <f>G49/G38</f>
        <v>0.19463220332542225</v>
      </c>
      <c r="H52" s="43">
        <f>H49/H38</f>
        <v>0.19664946703291145</v>
      </c>
      <c r="I52" s="43">
        <f>I49/I38</f>
        <v>0.20699534518766741</v>
      </c>
      <c r="J52" s="43">
        <f>J38/J49</f>
        <v>0</v>
      </c>
      <c r="K52" s="57"/>
    </row>
    <row r="53" spans="1:11" ht="15" customHeight="1">
      <c r="A53" s="44" t="s">
        <v>57</v>
      </c>
      <c r="B53" s="53"/>
      <c r="C53" s="63"/>
      <c r="D53" s="53"/>
      <c r="E53" s="53"/>
      <c r="F53" s="53"/>
      <c r="G53" s="53"/>
      <c r="H53" s="63"/>
    </row>
    <row r="54" spans="1:11" ht="15" customHeight="1">
      <c r="A54" s="45" t="s">
        <v>58</v>
      </c>
    </row>
    <row r="55" spans="1:11" ht="323.14999999999998" customHeight="1">
      <c r="A55" s="3" t="s">
        <v>59</v>
      </c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" customHeight="1">
      <c r="A56" s="2" t="s">
        <v>60</v>
      </c>
      <c r="B56" s="2"/>
      <c r="E56" s="46" t="s">
        <v>61</v>
      </c>
      <c r="F56" s="46" t="s">
        <v>61</v>
      </c>
    </row>
    <row r="57" spans="1:11" ht="15" customHeight="1">
      <c r="A57" s="1" t="s">
        <v>62</v>
      </c>
      <c r="B57" s="1"/>
      <c r="E57" s="48" t="s">
        <v>63</v>
      </c>
      <c r="F57" s="48" t="s">
        <v>63</v>
      </c>
    </row>
    <row r="58" spans="1:11" ht="15" customHeight="1">
      <c r="A58" s="47" t="s">
        <v>64</v>
      </c>
      <c r="B58" s="47" t="s">
        <v>65</v>
      </c>
      <c r="E58" s="48" t="s">
        <v>63</v>
      </c>
      <c r="F58" s="48" t="s">
        <v>63</v>
      </c>
    </row>
    <row r="59" spans="1:11" ht="15" customHeight="1">
      <c r="A59" s="49" t="s">
        <v>66</v>
      </c>
      <c r="B59" s="49" t="s">
        <v>67</v>
      </c>
      <c r="E59" s="48" t="s">
        <v>63</v>
      </c>
      <c r="F59" s="48" t="s">
        <v>63</v>
      </c>
    </row>
    <row r="1048553" ht="12.75" customHeight="1"/>
    <row r="1048554" ht="12.75" customHeight="1"/>
    <row r="1048555" ht="12.75" customHeight="1"/>
    <row r="1048556" ht="12.75" customHeight="1"/>
    <row r="1048557" ht="12.7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">
    <mergeCell ref="A55:K55"/>
    <mergeCell ref="A56:B56"/>
    <mergeCell ref="A57:B57"/>
  </mergeCells>
  <phoneticPr fontId="28" type="noConversion"/>
  <pageMargins left="0.39374999999999999" right="0.39374999999999999" top="0.39374999999999999" bottom="0.39374999999999999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4</vt:i4>
      </vt:variant>
    </vt:vector>
  </HeadingPairs>
  <TitlesOfParts>
    <vt:vector size="5" baseType="lpstr">
      <vt:lpstr>表5-3</vt:lpstr>
      <vt:lpstr>'表5-3'!Print_Area</vt:lpstr>
      <vt:lpstr>'表5-3'!Print_Titles</vt:lpstr>
      <vt:lpstr>source_sourceValue</vt:lpstr>
      <vt:lpstr>'表5-3'!source_sourceValue_tpl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Seraph Wang</dc:creator>
  <dc:description/>
  <cp:lastModifiedBy>ASUS</cp:lastModifiedBy>
  <cp:revision>4</cp:revision>
  <dcterms:created xsi:type="dcterms:W3CDTF">2025-08-27T02:47:59Z</dcterms:created>
  <dcterms:modified xsi:type="dcterms:W3CDTF">2025-11-05T08:08:40Z</dcterms:modified>
  <dc:language>zh-TW</dc:language>
</cp:coreProperties>
</file>