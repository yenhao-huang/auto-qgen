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文境\TIRS\data\專款項目\"/>
    </mc:Choice>
  </mc:AlternateContent>
  <bookViews>
    <workbookView xWindow="0" yWindow="0" windowWidth="16380" windowHeight="8190" tabRatio="500"/>
  </bookViews>
  <sheets>
    <sheet name="表1-2" sheetId="1" r:id="rId1"/>
  </sheets>
  <definedNames>
    <definedName name="_xlnm.Print_Area" localSheetId="0">'表1-2'!$A$1:$P$32</definedName>
    <definedName name="source_sourceValue">'表1-2'!$O$3:$O$23</definedName>
    <definedName name="source_sourceValue_tpl" localSheetId="0">'表1-2'!$O$3:$O$23</definedName>
  </definedNames>
  <calcPr calcId="162913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I23" i="1" s="1"/>
  <c r="H6" i="1"/>
  <c r="I6" i="1"/>
  <c r="J6" i="1"/>
  <c r="J23" i="1" s="1"/>
  <c r="K6" i="1"/>
  <c r="K23" i="1" s="1"/>
  <c r="L6" i="1"/>
  <c r="L23" i="1" s="1"/>
  <c r="M6" i="1"/>
  <c r="M23" i="1" s="1"/>
  <c r="N6" i="1"/>
  <c r="B17" i="1"/>
  <c r="C17" i="1"/>
  <c r="D17" i="1"/>
  <c r="F17" i="1"/>
  <c r="G17" i="1"/>
  <c r="H17" i="1"/>
  <c r="I17" i="1"/>
  <c r="J17" i="1"/>
  <c r="L17" i="1"/>
  <c r="N17" i="1"/>
  <c r="B18" i="1"/>
  <c r="C18" i="1"/>
  <c r="D18" i="1"/>
  <c r="F18" i="1"/>
  <c r="G18" i="1"/>
  <c r="H18" i="1"/>
  <c r="I18" i="1"/>
  <c r="J18" i="1"/>
  <c r="L18" i="1"/>
  <c r="N18" i="1"/>
  <c r="B19" i="1"/>
  <c r="C19" i="1"/>
  <c r="D19" i="1"/>
  <c r="F19" i="1"/>
  <c r="G19" i="1"/>
  <c r="H19" i="1"/>
  <c r="I19" i="1"/>
  <c r="J19" i="1"/>
  <c r="L19" i="1"/>
  <c r="N19" i="1"/>
  <c r="D23" i="1"/>
  <c r="E23" i="1"/>
  <c r="F23" i="1"/>
  <c r="G23" i="1"/>
  <c r="H23" i="1"/>
  <c r="N23" i="1"/>
</calcChain>
</file>

<file path=xl/sharedStrings.xml><?xml version="1.0" encoding="utf-8"?>
<sst xmlns="http://schemas.openxmlformats.org/spreadsheetml/2006/main" count="37" uniqueCount="35">
  <si>
    <r>
      <rPr>
        <b/>
        <sz val="14"/>
        <color rgb="FF000000"/>
        <rFont val="標楷體"/>
        <family val="4"/>
      </rPr>
      <t>表</t>
    </r>
    <r>
      <rPr>
        <b/>
        <sz val="14"/>
        <color rgb="FF000000"/>
        <rFont val="Times New Roman"/>
        <family val="1"/>
      </rPr>
      <t xml:space="preserve">1-2  </t>
    </r>
    <r>
      <rPr>
        <b/>
        <sz val="14"/>
        <color rgb="FF000000"/>
        <rFont val="標楷體"/>
        <family val="4"/>
      </rPr>
      <t>醫院支援西醫醫療資源不足地區改善方案執行情形</t>
    </r>
  </si>
  <si>
    <r>
      <rPr>
        <sz val="12"/>
        <color rgb="FF000000"/>
        <rFont val="標楷體"/>
        <family val="4"/>
      </rPr>
      <t>計畫型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標楷體"/>
        <family val="4"/>
      </rPr>
      <t>自</t>
    </r>
    <r>
      <rPr>
        <sz val="12"/>
        <color rgb="FF000000"/>
        <rFont val="Times New Roman"/>
        <family val="1"/>
      </rPr>
      <t>100</t>
    </r>
    <r>
      <rPr>
        <sz val="12"/>
        <color rgb="FF000000"/>
        <rFont val="標楷體"/>
        <family val="4"/>
      </rPr>
      <t>年起實施</t>
    </r>
  </si>
  <si>
    <r>
      <rPr>
        <sz val="12"/>
        <color rgb="FF000000"/>
        <rFont val="新細明體"/>
        <family val="2"/>
      </rPr>
      <t xml:space="preserve">                                                           </t>
    </r>
    <r>
      <rPr>
        <sz val="12"/>
        <color rgb="FF000000"/>
        <rFont val="標楷體"/>
        <family val="4"/>
      </rPr>
      <t>年度
項目</t>
    </r>
  </si>
  <si>
    <r>
      <rPr>
        <sz val="12"/>
        <color rgb="FF000000"/>
        <rFont val="Times New Roman"/>
        <family val="1"/>
      </rPr>
      <t>114
1~6</t>
    </r>
    <r>
      <rPr>
        <sz val="12"/>
        <color rgb="FF000000"/>
        <rFont val="標楷體"/>
        <family val="4"/>
      </rPr>
      <t>月</t>
    </r>
  </si>
  <si>
    <r>
      <rPr>
        <sz val="12"/>
        <color rgb="FF000000"/>
        <rFont val="標楷體"/>
        <family val="4"/>
      </rPr>
      <t>預算數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百萬元</t>
    </r>
    <r>
      <rPr>
        <sz val="12"/>
        <color rgb="FF000000"/>
        <rFont val="Times New Roman"/>
        <family val="1"/>
      </rPr>
      <t>)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1</t>
    </r>
  </si>
  <si>
    <r>
      <rPr>
        <sz val="12"/>
        <color rgb="FF000000"/>
        <rFont val="標楷體"/>
        <family val="4"/>
      </rPr>
      <t>執行數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百萬元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</si>
  <si>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標楷體"/>
        <family val="4"/>
      </rPr>
      <t>預算執行率</t>
    </r>
    <r>
      <rPr>
        <sz val="12"/>
        <color rgb="FF000000"/>
        <rFont val="Times New Roman"/>
        <family val="1"/>
      </rPr>
      <t>(%)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2</t>
    </r>
  </si>
  <si>
    <t>巡迴醫療</t>
  </si>
  <si>
    <t>目標數</t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</si>
  <si>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鄉鎮數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</si>
  <si>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總服務診次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</si>
  <si>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總服務人次</t>
    </r>
  </si>
  <si>
    <t>目標執行數</t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</si>
  <si>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鄉鎮數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</si>
  <si>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總服務診次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</si>
  <si>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總服務人次</t>
    </r>
  </si>
  <si>
    <t>目標達成率</t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</si>
  <si>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鄉鎮數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</si>
  <si>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總服務診次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</si>
  <si>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總服務人次</t>
    </r>
  </si>
  <si>
    <r>
      <rPr>
        <b/>
        <sz val="12"/>
        <color rgb="FF000000"/>
        <rFont val="標楷體"/>
        <family val="4"/>
      </rPr>
      <t>關鍵績效指標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標楷體"/>
        <family val="4"/>
      </rPr>
      <t>自選</t>
    </r>
    <r>
      <rPr>
        <b/>
        <sz val="12"/>
        <color rgb="FF000000"/>
        <rFont val="Times New Roman"/>
        <family val="1"/>
      </rPr>
      <t>3</t>
    </r>
    <r>
      <rPr>
        <b/>
        <sz val="12"/>
        <color rgb="FF000000"/>
        <rFont val="標楷體"/>
        <family val="4"/>
      </rPr>
      <t>項</t>
    </r>
    <r>
      <rPr>
        <b/>
        <sz val="12"/>
        <color rgb="FF000000"/>
        <rFont val="Times New Roman"/>
        <family val="1"/>
      </rPr>
      <t>)</t>
    </r>
    <r>
      <rPr>
        <b/>
        <vertAlign val="superscript"/>
        <sz val="12"/>
        <color rgb="FF000000"/>
        <rFont val="標楷體"/>
        <family val="4"/>
      </rPr>
      <t>註</t>
    </r>
    <r>
      <rPr>
        <b/>
        <vertAlign val="superscript"/>
        <sz val="12"/>
        <color rgb="FF000000"/>
        <rFont val="Times New Roman"/>
        <family val="1"/>
      </rPr>
      <t>3</t>
    </r>
  </si>
  <si>
    <t xml:space="preserve"> </t>
  </si>
  <si>
    <r>
      <rPr>
        <sz val="12"/>
        <color rgb="FF000000"/>
        <rFont val="Times New Roman"/>
        <family val="1"/>
      </rPr>
      <t>1.</t>
    </r>
    <r>
      <rPr>
        <sz val="12"/>
        <color rgb="FF000000"/>
        <rFont val="標楷體"/>
        <family val="4"/>
      </rPr>
      <t>巡迴總服務診次</t>
    </r>
  </si>
  <si>
    <r>
      <rPr>
        <sz val="12"/>
        <color rgb="FF000000"/>
        <rFont val="Times New Roman"/>
        <family val="1"/>
      </rPr>
      <t>2.</t>
    </r>
    <r>
      <rPr>
        <sz val="12"/>
        <color rgb="FF000000"/>
        <rFont val="標楷體"/>
        <family val="4"/>
      </rPr>
      <t>巡迴總服務人次</t>
    </r>
  </si>
  <si>
    <r>
      <rPr>
        <sz val="12"/>
        <color rgb="FF000000"/>
        <rFont val="Times New Roman"/>
        <family val="1"/>
      </rPr>
      <t>3.</t>
    </r>
    <r>
      <rPr>
        <sz val="12"/>
        <color rgb="FF000000"/>
        <rFont val="標楷體"/>
        <family val="4"/>
      </rPr>
      <t>預算執行率</t>
    </r>
  </si>
  <si>
    <t xml:space="preserve">改善建議：
</t>
  </si>
  <si>
    <t>每年評估施行區域之合宜性。</t>
  </si>
  <si>
    <t>製表人：林鈺禎，分機：2628</t>
  </si>
  <si>
    <t xml:space="preserve">註：1.本項預算醫院與西醫基層總額相互流用。
    2.109、112年醫院超支6.6、1.06百萬元，由西醫基層總額支應，實際執行率為 108.3%、
           101.1%。
    3.113年本項專款結餘計4,875,159元，惟全數用以支付「113年西醫基層醫療資源不足地區改善方案」
      不足部分，故本項專款實際未支用金額為0元。
</t>
  </si>
  <si>
    <t>資料</t>
  </si>
  <si>
    <t>使用</t>
  </si>
  <si>
    <t>指標要覽</t>
  </si>
  <si>
    <t>V</t>
  </si>
  <si>
    <r>
      <rPr>
        <sz val="12"/>
        <color rgb="FF000000"/>
        <rFont val="標楷體"/>
        <family val="4"/>
      </rPr>
      <t>執行成果評核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請提供至</t>
    </r>
    <r>
      <rPr>
        <sz val="12"/>
        <color rgb="FF000000"/>
        <rFont val="Times New Roman"/>
        <family val="1"/>
      </rPr>
      <t>113</t>
    </r>
    <r>
      <rPr>
        <sz val="12"/>
        <color rgb="FF000000"/>
        <rFont val="標楷體"/>
        <family val="4"/>
      </rPr>
      <t>年資料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</si>
  <si>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Times New Roman"/>
        <family val="1"/>
      </rPr>
      <t>9</t>
    </r>
    <r>
      <rPr>
        <sz val="12"/>
        <color rgb="FF000000"/>
        <rFont val="標楷體"/>
        <family val="4"/>
      </rPr>
      <t>月總額協商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請提供至</t>
    </r>
    <r>
      <rPr>
        <sz val="12"/>
        <color rgb="FF000000"/>
        <rFont val="Times New Roman"/>
        <family val="1"/>
      </rPr>
      <t>114</t>
    </r>
    <r>
      <rPr>
        <sz val="12"/>
        <color rgb="FF000000"/>
        <rFont val="標楷體"/>
        <family val="4"/>
      </rPr>
      <t>年資料</t>
    </r>
    <r>
      <rPr>
        <sz val="12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</si>
</sst>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_(* #,##0.00_);_(* \(#,##0.00\);_(* \-??_);_(@_)"/>
    <numFmt numFmtId="177" formatCode="#,###.0,,"/>
    <numFmt numFmtId="178" formatCode="##,##0.0,,"/>
    <numFmt numFmtId="179" formatCode="0.0%"/>
    <numFmt numFmtId="180" formatCode="_-* #,##0_-;\-* #,##0_-;_-* \-??_-;_-@_-"/>
    <numFmt numFmtId="181" formatCode="#,##0;[Red]#,##0"/>
  </numFmts>
  <fonts count="21">
    <font>
      <sz val="12"/>
      <color rgb="FF000000"/>
      <name val="新細明體"/>
      <family val="2"/>
      <charset val="136"/>
    </font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</font>
    <font>
      <b/>
      <sz val="14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  <charset val="1"/>
    </font>
    <font>
      <b/>
      <sz val="12"/>
      <name val="標楷體"/>
      <family val="4"/>
      <charset val="136"/>
    </font>
    <font>
      <b/>
      <sz val="12"/>
      <name val="新細明體"/>
      <family val="2"/>
      <charset val="136"/>
    </font>
    <font>
      <sz val="12"/>
      <color rgb="FF000000"/>
      <name val="新細明體"/>
      <family val="2"/>
      <charset val="136"/>
    </font>
    <font>
      <b/>
      <sz val="14"/>
      <color rgb="FF000000"/>
      <name val="標楷體"/>
      <family val="4"/>
    </font>
    <font>
      <b/>
      <sz val="14"/>
      <color rgb="FF000000"/>
      <name val="Times New Roman"/>
      <family val="1"/>
    </font>
    <font>
      <sz val="12"/>
      <color rgb="FF000000"/>
      <name val="標楷體"/>
      <family val="4"/>
    </font>
    <font>
      <sz val="12"/>
      <color rgb="FF000000"/>
      <name val="Times New Roman"/>
      <family val="1"/>
    </font>
    <font>
      <sz val="12"/>
      <color rgb="FF000000"/>
      <name val="新細明體"/>
      <family val="2"/>
    </font>
    <font>
      <vertAlign val="superscript"/>
      <sz val="12"/>
      <color rgb="FF000000"/>
      <name val="標楷體"/>
      <family val="4"/>
    </font>
    <font>
      <vertAlign val="superscript"/>
      <sz val="12"/>
      <color rgb="FF000000"/>
      <name val="Times New Roman"/>
      <family val="1"/>
    </font>
    <font>
      <b/>
      <sz val="12"/>
      <color rgb="FF000000"/>
      <name val="標楷體"/>
      <family val="4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標楷體"/>
      <family val="4"/>
    </font>
    <font>
      <b/>
      <vertAlign val="superscript"/>
      <sz val="12"/>
      <color rgb="FF000000"/>
      <name val="Times New Roman"/>
      <family val="1"/>
    </font>
    <font>
      <sz val="9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3">
    <xf numFmtId="0" fontId="0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76" fontId="8" fillId="0" borderId="0" applyBorder="0" applyProtection="0">
      <alignment vertical="center"/>
    </xf>
    <xf numFmtId="176" fontId="8" fillId="0" borderId="0" applyBorder="0" applyProtection="0">
      <alignment vertical="center"/>
    </xf>
    <xf numFmtId="9" fontId="8" fillId="0" borderId="0" applyBorder="0" applyProtection="0">
      <alignment vertical="center"/>
    </xf>
    <xf numFmtId="9" fontId="8" fillId="0" borderId="0" applyBorder="0" applyProtection="0">
      <alignment vertical="center"/>
    </xf>
  </cellStyleXfs>
  <cellXfs count="64">
    <xf numFmtId="0" fontId="0" fillId="0" borderId="0" xfId="0">
      <alignment vertical="center"/>
    </xf>
    <xf numFmtId="0" fontId="4" fillId="0" borderId="0" xfId="0" applyNumberFormat="1" applyFont="1" applyFill="1" applyAlignment="1" applyProtection="1">
      <alignment horizontal="left" vertical="top" wrapText="1"/>
    </xf>
    <xf numFmtId="49" fontId="6" fillId="0" borderId="6" xfId="4" applyNumberFormat="1" applyFont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177" fontId="5" fillId="0" borderId="5" xfId="0" applyNumberFormat="1" applyFont="1" applyBorder="1" applyAlignment="1">
      <alignment horizontal="right" vertical="center"/>
    </xf>
    <xf numFmtId="177" fontId="5" fillId="0" borderId="6" xfId="0" applyNumberFormat="1" applyFont="1" applyBorder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vertical="center"/>
    </xf>
    <xf numFmtId="177" fontId="5" fillId="0" borderId="7" xfId="0" applyNumberFormat="1" applyFont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9" fontId="5" fillId="0" borderId="7" xfId="12" applyFont="1" applyBorder="1" applyAlignment="1" applyProtection="1">
      <alignment horizontal="right" vertical="center"/>
    </xf>
    <xf numFmtId="0" fontId="6" fillId="0" borderId="4" xfId="0" applyFont="1" applyBorder="1" applyAlignment="1">
      <alignment vertical="center"/>
    </xf>
    <xf numFmtId="0" fontId="4" fillId="0" borderId="4" xfId="8" applyFont="1" applyBorder="1" applyAlignment="1">
      <alignment horizontal="left" wrapText="1" indent="1"/>
    </xf>
    <xf numFmtId="0" fontId="5" fillId="0" borderId="4" xfId="8" applyFont="1" applyBorder="1" applyAlignment="1">
      <alignment horizontal="left" wrapText="1" indent="2"/>
    </xf>
    <xf numFmtId="3" fontId="5" fillId="0" borderId="7" xfId="6" applyNumberFormat="1" applyFont="1" applyBorder="1" applyAlignment="1">
      <alignment horizontal="right" vertical="center" wrapText="1"/>
    </xf>
    <xf numFmtId="3" fontId="5" fillId="0" borderId="0" xfId="6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38" fontId="5" fillId="0" borderId="0" xfId="6" applyNumberFormat="1" applyFont="1" applyAlignment="1">
      <alignment horizontal="right" vertical="center" wrapText="1"/>
    </xf>
    <xf numFmtId="179" fontId="5" fillId="0" borderId="7" xfId="8" applyNumberFormat="1" applyFont="1" applyBorder="1" applyAlignment="1">
      <alignment vertical="center" wrapText="1"/>
    </xf>
    <xf numFmtId="179" fontId="5" fillId="0" borderId="0" xfId="8" applyNumberFormat="1" applyFont="1" applyAlignment="1">
      <alignment vertical="center" wrapText="1"/>
    </xf>
    <xf numFmtId="179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vertical="center"/>
    </xf>
    <xf numFmtId="0" fontId="5" fillId="0" borderId="8" xfId="8" applyFont="1" applyBorder="1" applyAlignment="1">
      <alignment horizontal="left" wrapText="1" indent="2"/>
    </xf>
    <xf numFmtId="179" fontId="5" fillId="0" borderId="9" xfId="8" applyNumberFormat="1" applyFont="1" applyBorder="1" applyAlignment="1">
      <alignment vertical="center" wrapText="1"/>
    </xf>
    <xf numFmtId="179" fontId="5" fillId="0" borderId="10" xfId="8" applyNumberFormat="1" applyFont="1" applyBorder="1" applyAlignment="1">
      <alignment vertical="center" wrapText="1"/>
    </xf>
    <xf numFmtId="179" fontId="5" fillId="0" borderId="10" xfId="0" applyNumberFormat="1" applyFont="1" applyBorder="1" applyAlignment="1">
      <alignment horizontal="right" vertical="center"/>
    </xf>
    <xf numFmtId="179" fontId="5" fillId="0" borderId="10" xfId="0" applyNumberFormat="1" applyFont="1" applyBorder="1" applyAlignment="1">
      <alignment vertical="center"/>
    </xf>
    <xf numFmtId="0" fontId="6" fillId="0" borderId="11" xfId="1" applyFont="1" applyBorder="1" applyAlignment="1">
      <alignment horizontal="left" vertical="center"/>
    </xf>
    <xf numFmtId="0" fontId="7" fillId="0" borderId="5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7" fillId="0" borderId="0" xfId="1" applyFont="1" applyAlignment="1">
      <alignment vertical="center"/>
    </xf>
    <xf numFmtId="49" fontId="5" fillId="0" borderId="4" xfId="1" applyNumberFormat="1" applyFont="1" applyBorder="1" applyAlignment="1">
      <alignment horizontal="left" vertical="center" indent="1"/>
    </xf>
    <xf numFmtId="38" fontId="5" fillId="0" borderId="0" xfId="0" applyNumberFormat="1" applyFont="1" applyAlignment="1">
      <alignment vertical="center"/>
    </xf>
    <xf numFmtId="49" fontId="5" fillId="0" borderId="8" xfId="1" applyNumberFormat="1" applyFont="1" applyBorder="1" applyAlignment="1">
      <alignment horizontal="left" vertical="center" indent="1"/>
    </xf>
    <xf numFmtId="49" fontId="4" fillId="0" borderId="10" xfId="4" applyNumberFormat="1" applyFont="1" applyBorder="1" applyAlignment="1">
      <alignment horizontal="left" vertical="center" wrapText="1"/>
    </xf>
    <xf numFmtId="0" fontId="7" fillId="0" borderId="10" xfId="0" applyFont="1" applyBorder="1" applyAlignment="1">
      <alignment vertical="top" wrapText="1"/>
    </xf>
    <xf numFmtId="0" fontId="4" fillId="0" borderId="0" xfId="7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/>
    <xf numFmtId="0" fontId="0" fillId="0" borderId="1" xfId="0" applyNumberFormat="1" applyFill="1" applyBorder="1" applyAlignment="1" applyProtection="1">
      <alignment wrapText="1"/>
    </xf>
    <xf numFmtId="9" fontId="5" fillId="0" borderId="0" xfId="0" applyNumberFormat="1" applyFont="1" applyFill="1" applyAlignment="1" applyProtection="1">
      <alignment horizontal="right" vertical="center"/>
    </xf>
    <xf numFmtId="0" fontId="0" fillId="0" borderId="7" xfId="0" applyNumberFormat="1" applyFill="1" applyBorder="1" applyAlignment="1" applyProtection="1">
      <alignment vertical="center"/>
    </xf>
    <xf numFmtId="9" fontId="0" fillId="0" borderId="0" xfId="0" applyNumberFormat="1" applyFill="1" applyAlignment="1" applyProtection="1">
      <alignment vertical="center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 vertical="center" wrapText="1"/>
    </xf>
    <xf numFmtId="180" fontId="5" fillId="0" borderId="0" xfId="0" applyNumberFormat="1" applyFont="1" applyFill="1" applyAlignment="1" applyProtection="1">
      <alignment horizontal="right" vertical="center" wrapText="1"/>
    </xf>
    <xf numFmtId="181" fontId="0" fillId="0" borderId="0" xfId="0" applyNumberFormat="1" applyFill="1" applyAlignment="1" applyProtection="1">
      <alignment horizontal="center" vertical="center"/>
    </xf>
    <xf numFmtId="49" fontId="0" fillId="0" borderId="0" xfId="0" applyNumberFormat="1" applyFill="1" applyAlignment="1" applyProtection="1">
      <alignment horizontal="left" vertical="center" indent="1"/>
    </xf>
    <xf numFmtId="180" fontId="5" fillId="0" borderId="0" xfId="0" applyNumberFormat="1" applyFont="1" applyFill="1" applyAlignment="1" applyProtection="1">
      <alignment vertical="center"/>
    </xf>
    <xf numFmtId="49" fontId="0" fillId="0" borderId="10" xfId="0" applyNumberFormat="1" applyFill="1" applyBorder="1" applyAlignment="1" applyProtection="1">
      <alignment horizontal="left" vertical="center" indent="1"/>
    </xf>
    <xf numFmtId="0" fontId="0" fillId="0" borderId="10" xfId="0" applyNumberFormat="1" applyFill="1" applyBorder="1" applyAlignment="1" applyProtection="1">
      <alignment vertical="center"/>
    </xf>
    <xf numFmtId="0" fontId="1" fillId="0" borderId="0" xfId="0" applyNumberFormat="1" applyFont="1" applyFill="1" applyAlignment="1" applyProtection="1">
      <alignment vertical="top"/>
    </xf>
    <xf numFmtId="0" fontId="0" fillId="0" borderId="0" xfId="0" applyNumberFormat="1" applyFill="1" applyAlignment="1" applyProtection="1">
      <alignment vertical="top" wrapText="1"/>
    </xf>
    <xf numFmtId="0" fontId="0" fillId="0" borderId="0" xfId="0" applyNumberFormat="1" applyFill="1" applyAlignment="1" applyProtection="1">
      <alignment horizontal="center" wrapText="1"/>
    </xf>
    <xf numFmtId="0" fontId="1" fillId="0" borderId="0" xfId="0" applyNumberFormat="1" applyFont="1" applyFill="1" applyAlignment="1" applyProtection="1">
      <alignment vertical="center"/>
    </xf>
  </cellXfs>
  <cellStyles count="13">
    <cellStyle name="一般" xfId="0" builtinId="0"/>
    <cellStyle name="一般 14 4 2 2 2" xfId="1"/>
    <cellStyle name="一般 3 2 3" xfId="2"/>
    <cellStyle name="一般 3 3" xfId="3"/>
    <cellStyle name="一般 31 2 2 2 2" xfId="4"/>
    <cellStyle name="一般 4" xfId="5"/>
    <cellStyle name="一般_04(西)-0(v.931227)" xfId="6"/>
    <cellStyle name="一般_5-5品質指標" xfId="7"/>
    <cellStyle name="一般_Sheet1 3" xfId="8"/>
    <cellStyle name="千分位 10 3 2 2 2" xfId="9"/>
    <cellStyle name="千分位 2 3" xfId="10"/>
    <cellStyle name="百分比 10 3 2 2 2" xfId="11"/>
    <cellStyle name="百分比 13 2 2 2 2 2 2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48576"/>
  <sheetViews>
    <sheetView tabSelected="1" workbookViewId="0">
      <selection activeCell="L13" sqref="L13"/>
    </sheetView>
  </sheetViews>
  <sheetFormatPr defaultColWidth="8.90625" defaultRowHeight="17"/>
  <cols>
    <col min="1" max="1" width="38.81640625" customWidth="1"/>
    <col min="2" max="16" width="9.36328125" customWidth="1"/>
    <col min="17" max="17" width="8.90625" customWidth="1"/>
  </cols>
  <sheetData>
    <row r="1" spans="1:16" ht="30" customHeight="1">
      <c r="A1" s="3" t="s">
        <v>0</v>
      </c>
    </row>
    <row r="2" spans="1:16" ht="18" customHeight="1">
      <c r="A2" s="4" t="s">
        <v>1</v>
      </c>
    </row>
    <row r="3" spans="1:16" ht="33" customHeight="1">
      <c r="A3" s="48" t="s">
        <v>2</v>
      </c>
      <c r="B3" s="5">
        <v>100</v>
      </c>
      <c r="C3" s="5">
        <v>101</v>
      </c>
      <c r="D3" s="5">
        <v>102</v>
      </c>
      <c r="E3" s="5">
        <v>103</v>
      </c>
      <c r="F3" s="5">
        <v>104</v>
      </c>
      <c r="G3" s="5">
        <v>105</v>
      </c>
      <c r="H3" s="5">
        <v>106</v>
      </c>
      <c r="I3" s="6">
        <v>107</v>
      </c>
      <c r="J3" s="5">
        <v>108</v>
      </c>
      <c r="K3" s="6">
        <v>109</v>
      </c>
      <c r="L3" s="6">
        <v>110</v>
      </c>
      <c r="M3" s="6">
        <v>111</v>
      </c>
      <c r="N3" s="6">
        <v>112</v>
      </c>
      <c r="O3" s="6">
        <v>113</v>
      </c>
      <c r="P3" s="6" t="s">
        <v>3</v>
      </c>
    </row>
    <row r="4" spans="1:16" ht="19.5" customHeight="1">
      <c r="A4" s="7" t="s">
        <v>4</v>
      </c>
      <c r="B4" s="8">
        <v>50000000</v>
      </c>
      <c r="C4" s="9">
        <v>50000000</v>
      </c>
      <c r="D4" s="10">
        <v>50000000</v>
      </c>
      <c r="E4" s="10">
        <v>60000000</v>
      </c>
      <c r="F4" s="11">
        <v>60000000</v>
      </c>
      <c r="G4" s="11">
        <v>60000000</v>
      </c>
      <c r="H4" s="11">
        <v>60000000</v>
      </c>
      <c r="I4" s="11">
        <v>80000000</v>
      </c>
      <c r="J4" s="11">
        <v>80000000</v>
      </c>
      <c r="K4" s="11">
        <v>80000000</v>
      </c>
      <c r="L4" s="11">
        <v>100000000</v>
      </c>
      <c r="M4" s="11">
        <v>100000000</v>
      </c>
      <c r="N4" s="11">
        <v>100000000</v>
      </c>
      <c r="O4" s="11">
        <v>2212517</v>
      </c>
      <c r="P4" s="11">
        <v>135500000</v>
      </c>
    </row>
    <row r="5" spans="1:16" ht="19.5" customHeight="1">
      <c r="A5" s="7" t="s">
        <v>5</v>
      </c>
      <c r="B5" s="12">
        <v>33119871</v>
      </c>
      <c r="C5" s="10">
        <v>46071980</v>
      </c>
      <c r="D5" s="10">
        <v>50000000</v>
      </c>
      <c r="E5" s="10">
        <v>60000000</v>
      </c>
      <c r="F5" s="11">
        <v>60000000</v>
      </c>
      <c r="G5" s="11">
        <v>60000000</v>
      </c>
      <c r="H5" s="11">
        <v>60000000</v>
      </c>
      <c r="I5" s="11">
        <v>80000000</v>
      </c>
      <c r="J5" s="11">
        <v>80000000</v>
      </c>
      <c r="K5" s="11">
        <v>80000000</v>
      </c>
      <c r="L5" s="11">
        <v>81943847</v>
      </c>
      <c r="M5" s="13">
        <v>97814277</v>
      </c>
      <c r="N5" s="11">
        <v>100000000</v>
      </c>
      <c r="O5" s="11">
        <v>1.9199999999999998E-2</v>
      </c>
      <c r="P5" s="11"/>
    </row>
    <row r="6" spans="1:16" ht="19.5" customHeight="1">
      <c r="A6" s="7" t="s">
        <v>6</v>
      </c>
      <c r="B6" s="14">
        <f t="shared" ref="B6:N6" si="0">B5/B4</f>
        <v>0.66239742000000001</v>
      </c>
      <c r="C6" s="49">
        <f t="shared" si="0"/>
        <v>0.92143960000000003</v>
      </c>
      <c r="D6" s="49">
        <f t="shared" si="0"/>
        <v>1</v>
      </c>
      <c r="E6" s="49">
        <f t="shared" si="0"/>
        <v>1</v>
      </c>
      <c r="F6" s="49">
        <f t="shared" si="0"/>
        <v>1</v>
      </c>
      <c r="G6" s="49">
        <f t="shared" si="0"/>
        <v>1</v>
      </c>
      <c r="H6" s="24">
        <f t="shared" si="0"/>
        <v>1</v>
      </c>
      <c r="I6" s="24">
        <f t="shared" si="0"/>
        <v>1</v>
      </c>
      <c r="J6" s="24">
        <f t="shared" si="0"/>
        <v>1</v>
      </c>
      <c r="K6" s="24">
        <f t="shared" si="0"/>
        <v>1</v>
      </c>
      <c r="L6" s="24">
        <f t="shared" si="0"/>
        <v>0.81943847000000003</v>
      </c>
      <c r="M6" s="25">
        <f t="shared" si="0"/>
        <v>0.97814277000000005</v>
      </c>
      <c r="N6" s="25">
        <f t="shared" si="0"/>
        <v>1</v>
      </c>
      <c r="O6" s="24"/>
      <c r="P6" s="24"/>
    </row>
    <row r="7" spans="1:16" ht="19.5" customHeight="1">
      <c r="A7" s="15" t="s">
        <v>7</v>
      </c>
      <c r="B7" s="50"/>
      <c r="D7" s="51"/>
      <c r="E7" s="52"/>
      <c r="F7" s="53"/>
      <c r="G7" s="53"/>
      <c r="H7" s="53"/>
    </row>
    <row r="8" spans="1:16" ht="19.5" customHeight="1">
      <c r="A8" s="16" t="s">
        <v>8</v>
      </c>
      <c r="B8" s="50"/>
    </row>
    <row r="9" spans="1:16" ht="19.5" customHeight="1">
      <c r="A9" s="17" t="s">
        <v>9</v>
      </c>
      <c r="B9" s="18">
        <v>31</v>
      </c>
      <c r="C9" s="19">
        <v>35</v>
      </c>
      <c r="D9" s="19">
        <v>32</v>
      </c>
      <c r="E9" s="19">
        <v>33</v>
      </c>
      <c r="F9" s="19">
        <v>33</v>
      </c>
      <c r="G9" s="20">
        <v>32</v>
      </c>
      <c r="H9" s="20">
        <v>32</v>
      </c>
      <c r="I9" s="20">
        <v>30</v>
      </c>
      <c r="J9" s="19">
        <v>32</v>
      </c>
      <c r="K9" s="19">
        <v>31</v>
      </c>
      <c r="L9" s="19">
        <v>32</v>
      </c>
      <c r="M9" s="19">
        <v>37</v>
      </c>
      <c r="N9" s="21">
        <v>41</v>
      </c>
      <c r="O9" s="19">
        <v>41</v>
      </c>
    </row>
    <row r="10" spans="1:16" ht="19.5" customHeight="1">
      <c r="A10" s="17" t="s">
        <v>10</v>
      </c>
      <c r="B10" s="18">
        <v>5000</v>
      </c>
      <c r="C10" s="19">
        <v>5000</v>
      </c>
      <c r="D10" s="19">
        <v>3000</v>
      </c>
      <c r="E10" s="19">
        <v>3000</v>
      </c>
      <c r="F10" s="19">
        <v>3000</v>
      </c>
      <c r="G10" s="19">
        <v>3000</v>
      </c>
      <c r="H10" s="19">
        <v>3000</v>
      </c>
      <c r="I10" s="54">
        <v>3000</v>
      </c>
      <c r="J10" s="54">
        <v>3000</v>
      </c>
      <c r="K10" s="19">
        <v>3000</v>
      </c>
      <c r="L10" s="19">
        <v>3000</v>
      </c>
      <c r="M10" s="19">
        <v>3000</v>
      </c>
      <c r="N10" s="21">
        <v>3000</v>
      </c>
      <c r="O10" s="19">
        <v>5000</v>
      </c>
      <c r="P10" s="19"/>
    </row>
    <row r="11" spans="1:16" ht="19.5" customHeight="1">
      <c r="A11" s="17" t="s">
        <v>11</v>
      </c>
      <c r="B11" s="18">
        <v>50000</v>
      </c>
      <c r="C11" s="19">
        <v>50000</v>
      </c>
      <c r="D11" s="19">
        <v>50000</v>
      </c>
      <c r="E11" s="19">
        <v>50000</v>
      </c>
      <c r="F11" s="19">
        <v>50000</v>
      </c>
      <c r="G11" s="19">
        <v>50000</v>
      </c>
      <c r="H11" s="19">
        <v>50000</v>
      </c>
      <c r="I11" s="54">
        <v>50000</v>
      </c>
      <c r="J11" s="54">
        <v>50000</v>
      </c>
      <c r="K11" s="19">
        <v>50000</v>
      </c>
      <c r="L11" s="19">
        <v>50000</v>
      </c>
      <c r="M11" s="19">
        <v>50000</v>
      </c>
      <c r="N11" s="21">
        <v>50000</v>
      </c>
      <c r="O11" s="19">
        <v>70000</v>
      </c>
      <c r="P11" s="19"/>
    </row>
    <row r="12" spans="1:16" ht="19.5" customHeight="1">
      <c r="A12" s="16" t="s">
        <v>12</v>
      </c>
      <c r="B12" s="50"/>
      <c r="E12" s="55"/>
      <c r="F12" s="53"/>
      <c r="G12" s="53"/>
      <c r="H12" s="53"/>
    </row>
    <row r="13" spans="1:16" ht="19.5" customHeight="1">
      <c r="A13" s="17" t="s">
        <v>13</v>
      </c>
      <c r="B13" s="18">
        <v>29</v>
      </c>
      <c r="C13" s="19">
        <v>33</v>
      </c>
      <c r="D13" s="19">
        <v>31</v>
      </c>
      <c r="E13" s="19">
        <v>32</v>
      </c>
      <c r="F13" s="19">
        <v>31</v>
      </c>
      <c r="G13" s="20">
        <v>30</v>
      </c>
      <c r="H13" s="20">
        <v>30</v>
      </c>
      <c r="I13" s="20">
        <v>29</v>
      </c>
      <c r="J13" s="19">
        <v>31</v>
      </c>
      <c r="K13" s="19">
        <v>32</v>
      </c>
      <c r="L13" s="19">
        <v>33</v>
      </c>
      <c r="M13" s="19">
        <v>34</v>
      </c>
      <c r="N13" s="21">
        <v>36</v>
      </c>
      <c r="O13" s="19"/>
      <c r="P13" s="19"/>
    </row>
    <row r="14" spans="1:16" ht="19.5" customHeight="1">
      <c r="A14" s="17" t="s">
        <v>14</v>
      </c>
      <c r="B14" s="18">
        <v>10101</v>
      </c>
      <c r="C14" s="19">
        <v>12903</v>
      </c>
      <c r="D14" s="19">
        <v>4369</v>
      </c>
      <c r="E14" s="19">
        <v>4505</v>
      </c>
      <c r="F14" s="19">
        <v>4543</v>
      </c>
      <c r="G14" s="19">
        <v>4334</v>
      </c>
      <c r="H14" s="19">
        <v>4320</v>
      </c>
      <c r="I14" s="54">
        <v>4712</v>
      </c>
      <c r="J14" s="19">
        <v>5023</v>
      </c>
      <c r="K14" s="19">
        <v>5235</v>
      </c>
      <c r="L14" s="19">
        <v>4740</v>
      </c>
      <c r="M14" s="19">
        <v>5632</v>
      </c>
      <c r="N14" s="21">
        <v>5902</v>
      </c>
      <c r="O14" s="19"/>
      <c r="P14" s="19"/>
    </row>
    <row r="15" spans="1:16" ht="19.5" customHeight="1">
      <c r="A15" s="17" t="s">
        <v>15</v>
      </c>
      <c r="B15" s="18">
        <v>27135</v>
      </c>
      <c r="C15" s="19">
        <v>37550</v>
      </c>
      <c r="D15" s="19">
        <v>51315</v>
      </c>
      <c r="E15" s="19">
        <v>59052</v>
      </c>
      <c r="F15" s="19">
        <v>60937</v>
      </c>
      <c r="G15" s="19">
        <v>67244</v>
      </c>
      <c r="H15" s="19">
        <v>66237</v>
      </c>
      <c r="I15" s="54">
        <v>65642</v>
      </c>
      <c r="J15" s="19">
        <v>67884</v>
      </c>
      <c r="K15" s="19">
        <v>71396</v>
      </c>
      <c r="L15" s="19">
        <v>62494</v>
      </c>
      <c r="M15" s="19">
        <v>72890</v>
      </c>
      <c r="N15" s="21">
        <v>74501</v>
      </c>
      <c r="O15" s="19"/>
      <c r="P15" s="19"/>
    </row>
    <row r="16" spans="1:16" ht="19.5" customHeight="1">
      <c r="A16" s="16" t="s">
        <v>16</v>
      </c>
      <c r="B16" s="50"/>
    </row>
    <row r="17" spans="1:16" ht="19.5" customHeight="1">
      <c r="A17" s="17" t="s">
        <v>17</v>
      </c>
      <c r="B17" s="22">
        <f t="shared" ref="B17:D19" si="1">+B13/B9</f>
        <v>0.93548387096774188</v>
      </c>
      <c r="C17" s="23">
        <f t="shared" si="1"/>
        <v>0.94285714285714284</v>
      </c>
      <c r="D17" s="23">
        <f t="shared" si="1"/>
        <v>0.96875</v>
      </c>
      <c r="E17" s="23">
        <v>0.97</v>
      </c>
      <c r="F17" s="24">
        <f t="shared" ref="F17:J19" si="2">F13/F9</f>
        <v>0.93939393939393945</v>
      </c>
      <c r="G17" s="24">
        <f t="shared" si="2"/>
        <v>0.9375</v>
      </c>
      <c r="H17" s="24">
        <f t="shared" si="2"/>
        <v>0.9375</v>
      </c>
      <c r="I17" s="24">
        <f t="shared" si="2"/>
        <v>0.96666666666666667</v>
      </c>
      <c r="J17" s="25">
        <f t="shared" si="2"/>
        <v>0.96875</v>
      </c>
      <c r="K17" s="25">
        <v>1.0322580645161299</v>
      </c>
      <c r="L17" s="25">
        <f>L13/L9</f>
        <v>1.03125</v>
      </c>
      <c r="M17" s="25">
        <v>0.91900000000000004</v>
      </c>
      <c r="N17" s="25">
        <f>N13/N9</f>
        <v>0.87804878048780488</v>
      </c>
      <c r="O17" s="25"/>
      <c r="P17" s="25"/>
    </row>
    <row r="18" spans="1:16" ht="19.5" customHeight="1">
      <c r="A18" s="17" t="s">
        <v>18</v>
      </c>
      <c r="B18" s="22">
        <f t="shared" si="1"/>
        <v>2.0202</v>
      </c>
      <c r="C18" s="23">
        <f t="shared" si="1"/>
        <v>2.5806</v>
      </c>
      <c r="D18" s="23">
        <f t="shared" si="1"/>
        <v>1.4563333333333333</v>
      </c>
      <c r="E18" s="23">
        <v>1.502</v>
      </c>
      <c r="F18" s="24">
        <f t="shared" si="2"/>
        <v>1.5143333333333333</v>
      </c>
      <c r="G18" s="24">
        <f t="shared" si="2"/>
        <v>1.4446666666666668</v>
      </c>
      <c r="H18" s="24">
        <f t="shared" si="2"/>
        <v>1.44</v>
      </c>
      <c r="I18" s="24">
        <f t="shared" si="2"/>
        <v>1.5706666666666667</v>
      </c>
      <c r="J18" s="25">
        <f t="shared" si="2"/>
        <v>1.6743333333333332</v>
      </c>
      <c r="K18" s="25">
        <v>1.7450000000000001</v>
      </c>
      <c r="L18" s="25">
        <f>L14/L10</f>
        <v>1.58</v>
      </c>
      <c r="M18" s="25">
        <v>1.877</v>
      </c>
      <c r="N18" s="25">
        <f>N14/N10</f>
        <v>1.9673333333333334</v>
      </c>
      <c r="O18" s="25"/>
      <c r="P18" s="25"/>
    </row>
    <row r="19" spans="1:16" ht="19.5" customHeight="1">
      <c r="A19" s="26" t="s">
        <v>19</v>
      </c>
      <c r="B19" s="27">
        <f t="shared" si="1"/>
        <v>0.54269999999999996</v>
      </c>
      <c r="C19" s="28">
        <f t="shared" si="1"/>
        <v>0.751</v>
      </c>
      <c r="D19" s="28">
        <f t="shared" si="1"/>
        <v>1.0263</v>
      </c>
      <c r="E19" s="28">
        <v>1.181</v>
      </c>
      <c r="F19" s="29">
        <f t="shared" si="2"/>
        <v>1.2187399999999999</v>
      </c>
      <c r="G19" s="29">
        <f t="shared" si="2"/>
        <v>1.3448800000000001</v>
      </c>
      <c r="H19" s="29">
        <f t="shared" si="2"/>
        <v>1.32474</v>
      </c>
      <c r="I19" s="29">
        <f t="shared" si="2"/>
        <v>1.31284</v>
      </c>
      <c r="J19" s="30">
        <f t="shared" si="2"/>
        <v>1.35768</v>
      </c>
      <c r="K19" s="30">
        <v>1.4279200000000001</v>
      </c>
      <c r="L19" s="30">
        <f>L15/L11</f>
        <v>1.2498800000000001</v>
      </c>
      <c r="M19" s="30">
        <v>1.458</v>
      </c>
      <c r="N19" s="30">
        <f>N15/N11</f>
        <v>1.4900199999999999</v>
      </c>
      <c r="O19" s="30"/>
      <c r="P19" s="30"/>
    </row>
    <row r="20" spans="1:16" s="34" customFormat="1" ht="19.5" customHeight="1">
      <c r="A20" s="31" t="s">
        <v>20</v>
      </c>
      <c r="B20" s="32"/>
      <c r="C20" s="33"/>
      <c r="D20" s="33"/>
      <c r="G20" s="33"/>
      <c r="K20" s="34" t="s">
        <v>21</v>
      </c>
    </row>
    <row r="21" spans="1:16" ht="19.5" customHeight="1">
      <c r="A21" s="35" t="s">
        <v>22</v>
      </c>
      <c r="B21" s="56"/>
      <c r="C21" s="56"/>
      <c r="D21" s="54">
        <v>4369</v>
      </c>
      <c r="E21" s="54">
        <v>4505</v>
      </c>
      <c r="F21" s="54">
        <v>4543</v>
      </c>
      <c r="G21" s="54">
        <v>4334</v>
      </c>
      <c r="H21" s="54">
        <v>4320</v>
      </c>
      <c r="I21" s="54">
        <v>4712</v>
      </c>
      <c r="J21" s="19">
        <v>5023</v>
      </c>
      <c r="K21" s="57">
        <v>5235</v>
      </c>
      <c r="L21" s="57">
        <v>4740</v>
      </c>
      <c r="M21" s="36">
        <v>5632</v>
      </c>
      <c r="N21" s="21">
        <v>5902</v>
      </c>
      <c r="O21" s="19"/>
      <c r="P21" s="19"/>
    </row>
    <row r="22" spans="1:16" ht="19.5" customHeight="1">
      <c r="A22" s="35" t="s">
        <v>23</v>
      </c>
      <c r="B22" s="56"/>
      <c r="C22" s="56"/>
      <c r="D22" s="19">
        <v>51315</v>
      </c>
      <c r="E22" s="19">
        <v>59052</v>
      </c>
      <c r="F22" s="19">
        <v>60937</v>
      </c>
      <c r="G22" s="19">
        <v>67244</v>
      </c>
      <c r="H22" s="19">
        <v>66237</v>
      </c>
      <c r="I22" s="54">
        <v>65642</v>
      </c>
      <c r="J22" s="19">
        <v>67884</v>
      </c>
      <c r="K22" s="57">
        <v>71396</v>
      </c>
      <c r="L22" s="57">
        <v>62494</v>
      </c>
      <c r="M22" s="36">
        <v>72890</v>
      </c>
      <c r="N22" s="21">
        <v>74501</v>
      </c>
      <c r="O22" s="19"/>
      <c r="P22" s="19"/>
    </row>
    <row r="23" spans="1:16" ht="19.5" customHeight="1">
      <c r="A23" s="37" t="s">
        <v>24</v>
      </c>
      <c r="B23" s="58"/>
      <c r="C23" s="58"/>
      <c r="D23" s="29">
        <f t="shared" ref="D23:I23" si="3">B6</f>
        <v>0.66239742000000001</v>
      </c>
      <c r="E23" s="29">
        <f t="shared" si="3"/>
        <v>0.92143960000000003</v>
      </c>
      <c r="F23" s="29">
        <f t="shared" si="3"/>
        <v>1</v>
      </c>
      <c r="G23" s="29">
        <f t="shared" si="3"/>
        <v>1</v>
      </c>
      <c r="H23" s="29">
        <f t="shared" si="3"/>
        <v>1</v>
      </c>
      <c r="I23" s="29">
        <f t="shared" si="3"/>
        <v>1</v>
      </c>
      <c r="J23" s="29">
        <f>J6</f>
        <v>1</v>
      </c>
      <c r="K23" s="29">
        <f>K6</f>
        <v>1</v>
      </c>
      <c r="L23" s="29">
        <f>L6</f>
        <v>0.81943847000000003</v>
      </c>
      <c r="M23" s="29">
        <f>M6</f>
        <v>0.97814277000000005</v>
      </c>
      <c r="N23" s="29">
        <f>N6</f>
        <v>1</v>
      </c>
      <c r="O23" s="30">
        <v>1.9199999999999998E-2</v>
      </c>
      <c r="P23" s="30"/>
    </row>
    <row r="24" spans="1:16" ht="19.5" customHeight="1">
      <c r="A24" s="2" t="s">
        <v>25</v>
      </c>
      <c r="B24" s="2"/>
      <c r="C24" s="2"/>
      <c r="D24" s="2"/>
      <c r="E24" s="2"/>
      <c r="F24" s="2"/>
      <c r="G24" s="2"/>
    </row>
    <row r="25" spans="1:16" ht="30" customHeight="1">
      <c r="A25" s="38" t="s">
        <v>26</v>
      </c>
      <c r="B25" s="39"/>
      <c r="C25" s="39"/>
      <c r="D25" s="39"/>
      <c r="E25" s="39"/>
      <c r="F25" s="39"/>
      <c r="G25" s="3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15.75" customHeight="1">
      <c r="A26" s="40" t="s">
        <v>27</v>
      </c>
      <c r="B26" s="41"/>
      <c r="C26" s="41"/>
      <c r="D26" s="41"/>
      <c r="E26" s="41"/>
      <c r="F26" s="41"/>
      <c r="G26" s="41"/>
    </row>
    <row r="27" spans="1:16" ht="85.75" customHeight="1">
      <c r="A27" s="1" t="s">
        <v>28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.75" customHeight="1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</row>
    <row r="29" spans="1:16" ht="15.75" customHeight="1">
      <c r="A29" s="42" t="s">
        <v>29</v>
      </c>
      <c r="C29" s="62"/>
      <c r="D29" s="63"/>
      <c r="E29" s="63"/>
      <c r="F29" s="63"/>
      <c r="G29" s="63"/>
      <c r="K29" s="43" t="s">
        <v>30</v>
      </c>
    </row>
    <row r="30" spans="1:16" ht="15.75" customHeight="1">
      <c r="A30" s="44" t="s">
        <v>31</v>
      </c>
      <c r="C30" s="52"/>
      <c r="K30" s="45" t="s">
        <v>32</v>
      </c>
    </row>
    <row r="31" spans="1:16" ht="15.75" customHeight="1">
      <c r="A31" s="46" t="s">
        <v>33</v>
      </c>
      <c r="C31" s="52"/>
      <c r="K31" s="45" t="s">
        <v>32</v>
      </c>
    </row>
    <row r="32" spans="1:16" ht="15.75" customHeight="1">
      <c r="A32" s="47" t="s">
        <v>34</v>
      </c>
      <c r="C32" s="52"/>
      <c r="K32" s="45" t="s">
        <v>32</v>
      </c>
    </row>
    <row r="1048573" ht="12.75" customHeight="1"/>
    <row r="1048574" ht="12.75" customHeight="1"/>
    <row r="1048575" ht="12.75" customHeight="1"/>
    <row r="1048576" ht="12.75" customHeight="1"/>
  </sheetData>
  <mergeCells count="2">
    <mergeCell ref="A24:G24"/>
    <mergeCell ref="A27:P27"/>
  </mergeCells>
  <phoneticPr fontId="20" type="noConversion"/>
  <printOptions horizontalCentered="1"/>
  <pageMargins left="0.39374999999999999" right="0.39374999999999999" top="0.39374999999999999" bottom="0.39374999999999999" header="0.511811023622047" footer="0.31527777777777799"/>
  <pageSetup paperSize="9" orientation="portrait" horizontalDpi="300" verticalDpi="300"/>
  <headerFooter>
    <oddFooter>&amp;C&amp;"Times New Roman,標準"&amp;P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3</vt:i4>
      </vt:variant>
    </vt:vector>
  </HeadingPairs>
  <TitlesOfParts>
    <vt:vector size="4" baseType="lpstr">
      <vt:lpstr>表1-2</vt:lpstr>
      <vt:lpstr>'表1-2'!Print_Area</vt:lpstr>
      <vt:lpstr>source_sourceValue</vt:lpstr>
      <vt:lpstr>'表1-2'!source_sourceValue_tpl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Seraph Wang</dc:creator>
  <dc:description/>
  <cp:lastModifiedBy>ASUS</cp:lastModifiedBy>
  <cp:revision>1</cp:revision>
  <dcterms:created xsi:type="dcterms:W3CDTF">2025-08-27T02:47:11Z</dcterms:created>
  <dcterms:modified xsi:type="dcterms:W3CDTF">2025-10-29T10:18:55Z</dcterms:modified>
  <dc:language>zh-TW</dc:language>
</cp:coreProperties>
</file>